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efan/Github/wirtschaftsmathematik/Beispiele/"/>
    </mc:Choice>
  </mc:AlternateContent>
  <xr:revisionPtr revIDLastSave="0" documentId="13_ncr:1_{0EA20AA6-30B9-8F42-9C66-907877206D5B}" xr6:coauthVersionLast="47" xr6:coauthVersionMax="47" xr10:uidLastSave="{00000000-0000-0000-0000-000000000000}"/>
  <bookViews>
    <workbookView xWindow="0" yWindow="660" windowWidth="34560" windowHeight="20620" xr2:uid="{1E627648-D751-2F4E-98FD-25D645E85C86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7" i="1" l="1"/>
  <c r="C3" i="1"/>
  <c r="D3" i="1"/>
  <c r="E3" i="1"/>
  <c r="F3" i="1"/>
  <c r="G3" i="1"/>
  <c r="H3" i="1"/>
  <c r="I3" i="1"/>
  <c r="J3" i="1"/>
  <c r="K3" i="1"/>
  <c r="L3" i="1"/>
  <c r="M3" i="1"/>
  <c r="C4" i="1"/>
  <c r="D4" i="1"/>
  <c r="E4" i="1"/>
  <c r="F4" i="1"/>
  <c r="G4" i="1"/>
  <c r="H4" i="1"/>
  <c r="I4" i="1"/>
  <c r="J4" i="1"/>
  <c r="K4" i="1"/>
  <c r="L4" i="1"/>
  <c r="M4" i="1"/>
  <c r="C5" i="1"/>
  <c r="D5" i="1"/>
  <c r="E5" i="1"/>
  <c r="F5" i="1"/>
  <c r="G5" i="1"/>
  <c r="H5" i="1"/>
  <c r="I5" i="1"/>
  <c r="J5" i="1"/>
  <c r="K5" i="1"/>
  <c r="L5" i="1"/>
  <c r="M5" i="1"/>
  <c r="C6" i="1"/>
  <c r="D6" i="1"/>
  <c r="E6" i="1"/>
  <c r="F6" i="1"/>
  <c r="G6" i="1"/>
  <c r="H6" i="1"/>
  <c r="I6" i="1"/>
  <c r="J6" i="1"/>
  <c r="K6" i="1"/>
  <c r="L6" i="1"/>
  <c r="M6" i="1"/>
  <c r="C7" i="1"/>
  <c r="D7" i="1"/>
  <c r="E7" i="1"/>
  <c r="F7" i="1"/>
  <c r="G7" i="1"/>
  <c r="H7" i="1"/>
  <c r="I7" i="1"/>
  <c r="J7" i="1"/>
  <c r="K7" i="1"/>
  <c r="L7" i="1"/>
  <c r="M7" i="1"/>
  <c r="C8" i="1"/>
  <c r="D8" i="1"/>
  <c r="E8" i="1"/>
  <c r="F8" i="1"/>
  <c r="G8" i="1"/>
  <c r="H8" i="1"/>
  <c r="I8" i="1"/>
  <c r="J8" i="1"/>
  <c r="K8" i="1"/>
  <c r="L8" i="1"/>
  <c r="M8" i="1"/>
  <c r="C9" i="1"/>
  <c r="D9" i="1"/>
  <c r="E9" i="1"/>
  <c r="F9" i="1"/>
  <c r="G9" i="1"/>
  <c r="H9" i="1"/>
  <c r="I9" i="1"/>
  <c r="J9" i="1"/>
  <c r="K9" i="1"/>
  <c r="L9" i="1"/>
  <c r="M9" i="1"/>
  <c r="C10" i="1"/>
  <c r="D10" i="1"/>
  <c r="E10" i="1"/>
  <c r="F10" i="1"/>
  <c r="G10" i="1"/>
  <c r="H10" i="1"/>
  <c r="I10" i="1"/>
  <c r="J10" i="1"/>
  <c r="K10" i="1"/>
  <c r="L10" i="1"/>
  <c r="M10" i="1"/>
  <c r="C11" i="1"/>
  <c r="D11" i="1"/>
  <c r="E11" i="1"/>
  <c r="F11" i="1"/>
  <c r="G11" i="1"/>
  <c r="H11" i="1"/>
  <c r="I11" i="1"/>
  <c r="J11" i="1"/>
  <c r="K11" i="1"/>
  <c r="L11" i="1"/>
  <c r="M11" i="1"/>
  <c r="C12" i="1"/>
  <c r="D12" i="1"/>
  <c r="E12" i="1"/>
  <c r="F12" i="1"/>
  <c r="G12" i="1"/>
  <c r="H12" i="1"/>
  <c r="I12" i="1"/>
  <c r="J12" i="1"/>
  <c r="K12" i="1"/>
  <c r="L12" i="1"/>
  <c r="M12" i="1"/>
  <c r="C13" i="1"/>
  <c r="D13" i="1"/>
  <c r="E13" i="1"/>
  <c r="F13" i="1"/>
  <c r="G13" i="1"/>
  <c r="H13" i="1"/>
  <c r="I13" i="1"/>
  <c r="J13" i="1"/>
  <c r="K13" i="1"/>
  <c r="L13" i="1"/>
  <c r="M13" i="1"/>
  <c r="C14" i="1"/>
  <c r="D14" i="1"/>
  <c r="E14" i="1"/>
  <c r="F14" i="1"/>
  <c r="G14" i="1"/>
  <c r="H14" i="1"/>
  <c r="I14" i="1"/>
  <c r="J14" i="1"/>
  <c r="K14" i="1"/>
  <c r="L14" i="1"/>
  <c r="M14" i="1"/>
  <c r="C15" i="1"/>
  <c r="D15" i="1"/>
  <c r="E15" i="1"/>
  <c r="F15" i="1"/>
  <c r="G15" i="1"/>
  <c r="H15" i="1"/>
  <c r="I15" i="1"/>
  <c r="J15" i="1"/>
  <c r="K15" i="1"/>
  <c r="L15" i="1"/>
  <c r="M15" i="1"/>
  <c r="B4" i="1"/>
  <c r="B5" i="1"/>
  <c r="B6" i="1"/>
  <c r="B7" i="1"/>
  <c r="B8" i="1"/>
  <c r="B9" i="1"/>
  <c r="B10" i="1"/>
  <c r="B11" i="1"/>
  <c r="B12" i="1"/>
  <c r="B13" i="1"/>
  <c r="B14" i="1"/>
  <c r="B15" i="1"/>
  <c r="B3" i="1"/>
</calcChain>
</file>

<file path=xl/sharedStrings.xml><?xml version="1.0" encoding="utf-8"?>
<sst xmlns="http://schemas.openxmlformats.org/spreadsheetml/2006/main" count="10" uniqueCount="9">
  <si>
    <t>Aufzinsungsfaktor</t>
  </si>
  <si>
    <t>Abzinsungfaktor</t>
  </si>
  <si>
    <t>Rentenbarwertfaktor</t>
  </si>
  <si>
    <t>Annuitätenfaktor</t>
  </si>
  <si>
    <t>Jahre</t>
  </si>
  <si>
    <t>Welchen Endwert hat eine gegenwärtige Zahlung von 1 GE  zum zukünftigen Zeitpunkt nach n Jahren?</t>
  </si>
  <si>
    <t>Welchen Gegenwarts- oder Barwert hat eine künftig (nach n Jahren) erwartete Zahlung von 1 GE?</t>
  </si>
  <si>
    <t>Welchen Gegenwarts- oder Barwert hat eine n Jahre lang (nachschüssig) gezahlte gleichbleibende jährliche Rente von 1 GE?</t>
  </si>
  <si>
    <t>Wie hoch ist die jährliche Rente, die n Jahre lang (nachschüssig) aus einem Gegenwarts- oder Barwert von 1 GE gezahlt werden kann?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</si>
</sst>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00_-;\-* #,##0.000_-;_-* &quot;-&quot;??_-;_-@_-"/>
    <numFmt numFmtId="165" formatCode="0.0%"/>
    <numFmt numFmtId="166" formatCode="_-* #,##0.000\ _€_-;\-* #,##0.000\ _€_-;_-* &quot;-&quot;???\ _€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2" borderId="6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0" borderId="5" xfId="1" applyNumberFormat="1" applyFont="1" applyBorder="1"/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2" fillId="3" borderId="9" xfId="0" applyNumberFormat="1" applyFont="1" applyFill="1" applyBorder="1" applyAlignment="1">
      <alignment horizontal="center"/>
    </xf>
    <xf numFmtId="165" fontId="2" fillId="3" borderId="10" xfId="0" applyNumberFormat="1" applyFont="1" applyFill="1" applyBorder="1" applyAlignment="1">
      <alignment horizontal="center"/>
    </xf>
    <xf numFmtId="165" fontId="2" fillId="3" borderId="11" xfId="0" applyNumberFormat="1" applyFont="1" applyFill="1" applyBorder="1" applyAlignment="1">
      <alignment horizontal="center"/>
    </xf>
    <xf numFmtId="166" fontId="0" fillId="0" borderId="0" xfId="0" applyNumberFormat="1"/>
  </cellXfs>
  <cellStyles count="2">
    <cellStyle name="Komma" xfId="1" builtinId="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2AD33-D6FE-B04D-BE81-942B50447162}">
  <dimension ref="A1:M19"/>
  <sheetViews>
    <sheetView tabSelected="1" zoomScale="190" zoomScaleNormal="190" workbookViewId="0">
      <selection activeCell="A16" sqref="A16"/>
    </sheetView>
  </sheetViews>
  <sheetFormatPr baseColWidth="10" defaultRowHeight="16" x14ac:dyDescent="0.2"/>
  <cols>
    <col min="1" max="1" width="10.83203125" style="1"/>
    <col min="2" max="2" width="13" bestFit="1" customWidth="1"/>
  </cols>
  <sheetData>
    <row r="1" spans="1:13" ht="17" thickBot="1" x14ac:dyDescent="0.25">
      <c r="A1" s="3"/>
      <c r="B1" s="9" t="s">
        <v>3</v>
      </c>
      <c r="C1" s="9"/>
      <c r="D1" s="9"/>
      <c r="E1" s="9"/>
      <c r="F1" s="9"/>
      <c r="G1" s="9"/>
      <c r="H1" s="9"/>
      <c r="I1" s="9"/>
      <c r="J1" s="9"/>
      <c r="K1" s="9"/>
      <c r="L1" s="9"/>
      <c r="M1" s="10"/>
    </row>
    <row r="2" spans="1:13" s="2" customFormat="1" ht="17" thickBot="1" x14ac:dyDescent="0.25">
      <c r="A2" s="4" t="s">
        <v>4</v>
      </c>
      <c r="B2" s="12">
        <v>0.01</v>
      </c>
      <c r="C2" s="13">
        <v>0.02</v>
      </c>
      <c r="D2" s="13">
        <v>0.03</v>
      </c>
      <c r="E2" s="13">
        <v>0.04</v>
      </c>
      <c r="F2" s="13">
        <v>0.05</v>
      </c>
      <c r="G2" s="13">
        <v>0.06</v>
      </c>
      <c r="H2" s="13">
        <v>7.0000000000000007E-2</v>
      </c>
      <c r="I2" s="13">
        <v>0.08</v>
      </c>
      <c r="J2" s="13">
        <v>0.09</v>
      </c>
      <c r="K2" s="13">
        <v>0.1</v>
      </c>
      <c r="L2" s="13">
        <v>0.11</v>
      </c>
      <c r="M2" s="14">
        <v>0.12</v>
      </c>
    </row>
    <row r="3" spans="1:13" x14ac:dyDescent="0.2">
      <c r="A3" s="5">
        <v>1</v>
      </c>
      <c r="B3" s="8">
        <f>IF($B$1=Tabelle2!$A$1,(1+Tabelle1!B$2)^Tabelle1!$A3,IF($B$1=Tabelle2!$A$2,(1+Tabelle1!B$2)^(-Tabelle1!$A3),IF($B$1=Tabelle2!$A$3,((1+Tabelle1!B$2)^Tabelle1!$A3-1)/(Tabelle1!B$2*(1+Tabelle1!B$2)^Tabelle1!$A3),IF($B$1=Tabelle2!$A$4,(Tabelle1!B$2*(1+Tabelle1!B$2)^Tabelle1!$A3)/((1+Tabelle1!B$2)^Tabelle1!$A3-1)))))</f>
        <v>1.0099999999999991</v>
      </c>
      <c r="C3" s="8">
        <f>IF($B$1=Tabelle2!$A$1,(1+Tabelle1!C$2)^Tabelle1!$A3,IF($B$1=Tabelle2!$A$2,(1+Tabelle1!C$2)^(-Tabelle1!$A3),IF($B$1=Tabelle2!$A$3,((1+Tabelle1!C$2)^Tabelle1!$A3-1)/(Tabelle1!C$2*(1+Tabelle1!C$2)^Tabelle1!$A3),IF($B$1=Tabelle2!$A$4,(Tabelle1!C$2*(1+Tabelle1!C$2)^Tabelle1!$A3)/((1+Tabelle1!C$2)^Tabelle1!$A3-1)))))</f>
        <v>1.0199999999999991</v>
      </c>
      <c r="D3" s="8">
        <f>IF($B$1=Tabelle2!$A$1,(1+Tabelle1!D$2)^Tabelle1!$A3,IF($B$1=Tabelle2!$A$2,(1+Tabelle1!D$2)^(-Tabelle1!$A3),IF($B$1=Tabelle2!$A$3,((1+Tabelle1!D$2)^Tabelle1!$A3-1)/(Tabelle1!D$2*(1+Tabelle1!D$2)^Tabelle1!$A3),IF($B$1=Tabelle2!$A$4,(Tabelle1!D$2*(1+Tabelle1!D$2)^Tabelle1!$A3)/((1+Tabelle1!D$2)^Tabelle1!$A3-1)))))</f>
        <v>1.0299999999999991</v>
      </c>
      <c r="E3" s="8">
        <f>IF($B$1=Tabelle2!$A$1,(1+Tabelle1!E$2)^Tabelle1!$A3,IF($B$1=Tabelle2!$A$2,(1+Tabelle1!E$2)^(-Tabelle1!$A3),IF($B$1=Tabelle2!$A$3,((1+Tabelle1!E$2)^Tabelle1!$A3-1)/(Tabelle1!E$2*(1+Tabelle1!E$2)^Tabelle1!$A3),IF($B$1=Tabelle2!$A$4,(Tabelle1!E$2*(1+Tabelle1!E$2)^Tabelle1!$A3)/((1+Tabelle1!E$2)^Tabelle1!$A3-1)))))</f>
        <v>1.0399999999999991</v>
      </c>
      <c r="F3" s="8">
        <f>IF($B$1=Tabelle2!$A$1,(1+Tabelle1!F$2)^Tabelle1!$A3,IF($B$1=Tabelle2!$A$2,(1+Tabelle1!F$2)^(-Tabelle1!$A3),IF($B$1=Tabelle2!$A$3,((1+Tabelle1!F$2)^Tabelle1!$A3-1)/(Tabelle1!F$2*(1+Tabelle1!F$2)^Tabelle1!$A3),IF($B$1=Tabelle2!$A$4,(Tabelle1!F$2*(1+Tabelle1!F$2)^Tabelle1!$A3)/((1+Tabelle1!F$2)^Tabelle1!$A3-1)))))</f>
        <v>1.0499999999999992</v>
      </c>
      <c r="G3" s="8">
        <f>IF($B$1=Tabelle2!$A$1,(1+Tabelle1!G$2)^Tabelle1!$A3,IF($B$1=Tabelle2!$A$2,(1+Tabelle1!G$2)^(-Tabelle1!$A3),IF($B$1=Tabelle2!$A$3,((1+Tabelle1!G$2)^Tabelle1!$A3-1)/(Tabelle1!G$2*(1+Tabelle1!G$2)^Tabelle1!$A3),IF($B$1=Tabelle2!$A$4,(Tabelle1!G$2*(1+Tabelle1!G$2)^Tabelle1!$A3)/((1+Tabelle1!G$2)^Tabelle1!$A3-1)))))</f>
        <v>1.0599999999999992</v>
      </c>
      <c r="H3" s="8">
        <f>IF($B$1=Tabelle2!$A$1,(1+Tabelle1!H$2)^Tabelle1!$A3,IF($B$1=Tabelle2!$A$2,(1+Tabelle1!H$2)^(-Tabelle1!$A3),IF($B$1=Tabelle2!$A$3,((1+Tabelle1!H$2)^Tabelle1!$A3-1)/(Tabelle1!H$2*(1+Tabelle1!H$2)^Tabelle1!$A3),IF($B$1=Tabelle2!$A$4,(Tabelle1!H$2*(1+Tabelle1!H$2)^Tabelle1!$A3)/((1+Tabelle1!H$2)^Tabelle1!$A3-1)))))</f>
        <v>1.0699999999999992</v>
      </c>
      <c r="I3" s="8">
        <f>IF($B$1=Tabelle2!$A$1,(1+Tabelle1!I$2)^Tabelle1!$A3,IF($B$1=Tabelle2!$A$2,(1+Tabelle1!I$2)^(-Tabelle1!$A3),IF($B$1=Tabelle2!$A$3,((1+Tabelle1!I$2)^Tabelle1!$A3-1)/(Tabelle1!I$2*(1+Tabelle1!I$2)^Tabelle1!$A3),IF($B$1=Tabelle2!$A$4,(Tabelle1!I$2*(1+Tabelle1!I$2)^Tabelle1!$A3)/((1+Tabelle1!I$2)^Tabelle1!$A3-1)))))</f>
        <v>1.0799999999999992</v>
      </c>
      <c r="J3" s="8">
        <f>IF($B$1=Tabelle2!$A$1,(1+Tabelle1!J$2)^Tabelle1!$A3,IF($B$1=Tabelle2!$A$2,(1+Tabelle1!J$2)^(-Tabelle1!$A3),IF($B$1=Tabelle2!$A$3,((1+Tabelle1!J$2)^Tabelle1!$A3-1)/(Tabelle1!J$2*(1+Tabelle1!J$2)^Tabelle1!$A3),IF($B$1=Tabelle2!$A$4,(Tabelle1!J$2*(1+Tabelle1!J$2)^Tabelle1!$A3)/((1+Tabelle1!J$2)^Tabelle1!$A3-1)))))</f>
        <v>1.0899999999999992</v>
      </c>
      <c r="K3" s="8">
        <f>IF($B$1=Tabelle2!$A$1,(1+Tabelle1!K$2)^Tabelle1!$A3,IF($B$1=Tabelle2!$A$2,(1+Tabelle1!K$2)^(-Tabelle1!$A3),IF($B$1=Tabelle2!$A$3,((1+Tabelle1!K$2)^Tabelle1!$A3-1)/(Tabelle1!K$2*(1+Tabelle1!K$2)^Tabelle1!$A3),IF($B$1=Tabelle2!$A$4,(Tabelle1!K$2*(1+Tabelle1!K$2)^Tabelle1!$A3)/((1+Tabelle1!K$2)^Tabelle1!$A3-1)))))</f>
        <v>1.0999999999999992</v>
      </c>
      <c r="L3" s="8">
        <f>IF($B$1=Tabelle2!$A$1,(1+Tabelle1!L$2)^Tabelle1!$A3,IF($B$1=Tabelle2!$A$2,(1+Tabelle1!L$2)^(-Tabelle1!$A3),IF($B$1=Tabelle2!$A$3,((1+Tabelle1!L$2)^Tabelle1!$A3-1)/(Tabelle1!L$2*(1+Tabelle1!L$2)^Tabelle1!$A3),IF($B$1=Tabelle2!$A$4,(Tabelle1!L$2*(1+Tabelle1!L$2)^Tabelle1!$A3)/((1+Tabelle1!L$2)^Tabelle1!$A3-1)))))</f>
        <v>1.1099999999999992</v>
      </c>
      <c r="M3" s="8">
        <f>IF($B$1=Tabelle2!$A$1,(1+Tabelle1!M$2)^Tabelle1!$A3,IF($B$1=Tabelle2!$A$2,(1+Tabelle1!M$2)^(-Tabelle1!$A3),IF($B$1=Tabelle2!$A$3,((1+Tabelle1!M$2)^Tabelle1!$A3-1)/(Tabelle1!M$2*(1+Tabelle1!M$2)^Tabelle1!$A3),IF($B$1=Tabelle2!$A$4,(Tabelle1!M$2*(1+Tabelle1!M$2)^Tabelle1!$A3)/((1+Tabelle1!M$2)^Tabelle1!$A3-1)))))</f>
        <v>1.1199999999999992</v>
      </c>
    </row>
    <row r="4" spans="1:13" x14ac:dyDescent="0.2">
      <c r="A4" s="6">
        <v>2</v>
      </c>
      <c r="B4" s="8">
        <f>IF($B$1=Tabelle2!$A$1,(1+Tabelle1!B$2)^Tabelle1!$A4,IF($B$1=Tabelle2!$A$2,(1+Tabelle1!B$2)^(-Tabelle1!$A4),IF($B$1=Tabelle2!$A$3,((1+Tabelle1!B$2)^Tabelle1!$A4-1)/(Tabelle1!B$2*(1+Tabelle1!B$2)^Tabelle1!$A4),IF($B$1=Tabelle2!$A$4,(Tabelle1!B$2*(1+Tabelle1!B$2)^Tabelle1!$A4)/((1+Tabelle1!B$2)^Tabelle1!$A4-1)))))</f>
        <v>0.50751243781094513</v>
      </c>
      <c r="C4" s="8">
        <f>IF($B$1=Tabelle2!$A$1,(1+Tabelle1!C$2)^Tabelle1!$A4,IF($B$1=Tabelle2!$A$2,(1+Tabelle1!C$2)^(-Tabelle1!$A4),IF($B$1=Tabelle2!$A$3,((1+Tabelle1!C$2)^Tabelle1!$A4-1)/(Tabelle1!C$2*(1+Tabelle1!C$2)^Tabelle1!$A4),IF($B$1=Tabelle2!$A$4,(Tabelle1!C$2*(1+Tabelle1!C$2)^Tabelle1!$A4)/((1+Tabelle1!C$2)^Tabelle1!$A4-1)))))</f>
        <v>0.51504950495049517</v>
      </c>
      <c r="D4" s="8">
        <f>IF($B$1=Tabelle2!$A$1,(1+Tabelle1!D$2)^Tabelle1!$A4,IF($B$1=Tabelle2!$A$2,(1+Tabelle1!D$2)^(-Tabelle1!$A4),IF($B$1=Tabelle2!$A$3,((1+Tabelle1!D$2)^Tabelle1!$A4-1)/(Tabelle1!D$2*(1+Tabelle1!D$2)^Tabelle1!$A4),IF($B$1=Tabelle2!$A$4,(Tabelle1!D$2*(1+Tabelle1!D$2)^Tabelle1!$A4)/((1+Tabelle1!D$2)^Tabelle1!$A4-1)))))</f>
        <v>0.52261083743842396</v>
      </c>
      <c r="E4" s="8">
        <f>IF($B$1=Tabelle2!$A$1,(1+Tabelle1!E$2)^Tabelle1!$A4,IF($B$1=Tabelle2!$A$2,(1+Tabelle1!E$2)^(-Tabelle1!$A4),IF($B$1=Tabelle2!$A$3,((1+Tabelle1!E$2)^Tabelle1!$A4-1)/(Tabelle1!E$2*(1+Tabelle1!E$2)^Tabelle1!$A4),IF($B$1=Tabelle2!$A$4,(Tabelle1!E$2*(1+Tabelle1!E$2)^Tabelle1!$A4)/((1+Tabelle1!E$2)^Tabelle1!$A4-1)))))</f>
        <v>0.53019607843137184</v>
      </c>
      <c r="F4" s="8">
        <f>IF($B$1=Tabelle2!$A$1,(1+Tabelle1!F$2)^Tabelle1!$A4,IF($B$1=Tabelle2!$A$2,(1+Tabelle1!F$2)^(-Tabelle1!$A4),IF($B$1=Tabelle2!$A$3,((1+Tabelle1!F$2)^Tabelle1!$A4-1)/(Tabelle1!F$2*(1+Tabelle1!F$2)^Tabelle1!$A4),IF($B$1=Tabelle2!$A$4,(Tabelle1!F$2*(1+Tabelle1!F$2)^Tabelle1!$A4)/((1+Tabelle1!F$2)^Tabelle1!$A4-1)))))</f>
        <v>0.53780487804878041</v>
      </c>
      <c r="G4" s="8">
        <f>IF($B$1=Tabelle2!$A$1,(1+Tabelle1!G$2)^Tabelle1!$A4,IF($B$1=Tabelle2!$A$2,(1+Tabelle1!G$2)^(-Tabelle1!$A4),IF($B$1=Tabelle2!$A$3,((1+Tabelle1!G$2)^Tabelle1!$A4-1)/(Tabelle1!G$2*(1+Tabelle1!G$2)^Tabelle1!$A4),IF($B$1=Tabelle2!$A$4,(Tabelle1!G$2*(1+Tabelle1!G$2)^Tabelle1!$A4)/((1+Tabelle1!G$2)^Tabelle1!$A4-1)))))</f>
        <v>0.54543689320388289</v>
      </c>
      <c r="H4" s="8">
        <f>IF($B$1=Tabelle2!$A$1,(1+Tabelle1!H$2)^Tabelle1!$A4,IF($B$1=Tabelle2!$A$2,(1+Tabelle1!H$2)^(-Tabelle1!$A4),IF($B$1=Tabelle2!$A$3,((1+Tabelle1!H$2)^Tabelle1!$A4-1)/(Tabelle1!H$2*(1+Tabelle1!H$2)^Tabelle1!$A4),IF($B$1=Tabelle2!$A$4,(Tabelle1!H$2*(1+Tabelle1!H$2)^Tabelle1!$A4)/((1+Tabelle1!H$2)^Tabelle1!$A4-1)))))</f>
        <v>0.5530917874396134</v>
      </c>
      <c r="I4" s="8">
        <f>IF($B$1=Tabelle2!$A$1,(1+Tabelle1!I$2)^Tabelle1!$A4,IF($B$1=Tabelle2!$A$2,(1+Tabelle1!I$2)^(-Tabelle1!$A4),IF($B$1=Tabelle2!$A$3,((1+Tabelle1!I$2)^Tabelle1!$A4-1)/(Tabelle1!I$2*(1+Tabelle1!I$2)^Tabelle1!$A4),IF($B$1=Tabelle2!$A$4,(Tabelle1!I$2*(1+Tabelle1!I$2)^Tabelle1!$A4)/((1+Tabelle1!I$2)^Tabelle1!$A4-1)))))</f>
        <v>0.56076923076923046</v>
      </c>
      <c r="J4" s="8">
        <f>IF($B$1=Tabelle2!$A$1,(1+Tabelle1!J$2)^Tabelle1!$A4,IF($B$1=Tabelle2!$A$2,(1+Tabelle1!J$2)^(-Tabelle1!$A4),IF($B$1=Tabelle2!$A$3,((1+Tabelle1!J$2)^Tabelle1!$A4-1)/(Tabelle1!J$2*(1+Tabelle1!J$2)^Tabelle1!$A4),IF($B$1=Tabelle2!$A$4,(Tabelle1!J$2*(1+Tabelle1!J$2)^Tabelle1!$A4)/((1+Tabelle1!J$2)^Tabelle1!$A4-1)))))</f>
        <v>0.56846889952153068</v>
      </c>
      <c r="K4" s="8">
        <f>IF($B$1=Tabelle2!$A$1,(1+Tabelle1!K$2)^Tabelle1!$A4,IF($B$1=Tabelle2!$A$2,(1+Tabelle1!K$2)^(-Tabelle1!$A4),IF($B$1=Tabelle2!$A$3,((1+Tabelle1!K$2)^Tabelle1!$A4-1)/(Tabelle1!K$2*(1+Tabelle1!K$2)^Tabelle1!$A4),IF($B$1=Tabelle2!$A$4,(Tabelle1!K$2*(1+Tabelle1!K$2)^Tabelle1!$A4)/((1+Tabelle1!K$2)^Tabelle1!$A4-1)))))</f>
        <v>0.57619047619047581</v>
      </c>
      <c r="L4" s="8">
        <f>IF($B$1=Tabelle2!$A$1,(1+Tabelle1!L$2)^Tabelle1!$A4,IF($B$1=Tabelle2!$A$2,(1+Tabelle1!L$2)^(-Tabelle1!$A4),IF($B$1=Tabelle2!$A$3,((1+Tabelle1!L$2)^Tabelle1!$A4-1)/(Tabelle1!L$2*(1+Tabelle1!L$2)^Tabelle1!$A4),IF($B$1=Tabelle2!$A$4,(Tabelle1!L$2*(1+Tabelle1!L$2)^Tabelle1!$A4)/((1+Tabelle1!L$2)^Tabelle1!$A4-1)))))</f>
        <v>0.58393364928909908</v>
      </c>
      <c r="M4" s="8">
        <f>IF($B$1=Tabelle2!$A$1,(1+Tabelle1!M$2)^Tabelle1!$A4,IF($B$1=Tabelle2!$A$2,(1+Tabelle1!M$2)^(-Tabelle1!$A4),IF($B$1=Tabelle2!$A$3,((1+Tabelle1!M$2)^Tabelle1!$A4-1)/(Tabelle1!M$2*(1+Tabelle1!M$2)^Tabelle1!$A4),IF($B$1=Tabelle2!$A$4,(Tabelle1!M$2*(1+Tabelle1!M$2)^Tabelle1!$A4)/((1+Tabelle1!M$2)^Tabelle1!$A4-1)))))</f>
        <v>0.59169811320754684</v>
      </c>
    </row>
    <row r="5" spans="1:13" x14ac:dyDescent="0.2">
      <c r="A5" s="6">
        <v>3</v>
      </c>
      <c r="B5" s="8">
        <f>IF($B$1=Tabelle2!$A$1,(1+Tabelle1!B$2)^Tabelle1!$A5,IF($B$1=Tabelle2!$A$2,(1+Tabelle1!B$2)^(-Tabelle1!$A5),IF($B$1=Tabelle2!$A$3,((1+Tabelle1!B$2)^Tabelle1!$A5-1)/(Tabelle1!B$2*(1+Tabelle1!B$2)^Tabelle1!$A5),IF($B$1=Tabelle2!$A$4,(Tabelle1!B$2*(1+Tabelle1!B$2)^Tabelle1!$A5)/((1+Tabelle1!B$2)^Tabelle1!$A5-1)))))</f>
        <v>0.34002211148147021</v>
      </c>
      <c r="C5" s="8">
        <f>IF($B$1=Tabelle2!$A$1,(1+Tabelle1!C$2)^Tabelle1!$A5,IF($B$1=Tabelle2!$A$2,(1+Tabelle1!C$2)^(-Tabelle1!$A5),IF($B$1=Tabelle2!$A$3,((1+Tabelle1!C$2)^Tabelle1!$A5-1)/(Tabelle1!C$2*(1+Tabelle1!C$2)^Tabelle1!$A5),IF($B$1=Tabelle2!$A$4,(Tabelle1!C$2*(1+Tabelle1!C$2)^Tabelle1!$A5)/((1+Tabelle1!C$2)^Tabelle1!$A5-1)))))</f>
        <v>0.34675467259181847</v>
      </c>
      <c r="D5" s="8">
        <f>IF($B$1=Tabelle2!$A$1,(1+Tabelle1!D$2)^Tabelle1!$A5,IF($B$1=Tabelle2!$A$2,(1+Tabelle1!D$2)^(-Tabelle1!$A5),IF($B$1=Tabelle2!$A$3,((1+Tabelle1!D$2)^Tabelle1!$A5-1)/(Tabelle1!D$2*(1+Tabelle1!D$2)^Tabelle1!$A5),IF($B$1=Tabelle2!$A$4,(Tabelle1!D$2*(1+Tabelle1!D$2)^Tabelle1!$A5)/((1+Tabelle1!D$2)^Tabelle1!$A5-1)))))</f>
        <v>0.35353036332459803</v>
      </c>
      <c r="E5" s="8">
        <f>IF($B$1=Tabelle2!$A$1,(1+Tabelle1!E$2)^Tabelle1!$A5,IF($B$1=Tabelle2!$A$2,(1+Tabelle1!E$2)^(-Tabelle1!$A5),IF($B$1=Tabelle2!$A$3,((1+Tabelle1!E$2)^Tabelle1!$A5-1)/(Tabelle1!E$2*(1+Tabelle1!E$2)^Tabelle1!$A5),IF($B$1=Tabelle2!$A$4,(Tabelle1!E$2*(1+Tabelle1!E$2)^Tabelle1!$A5)/((1+Tabelle1!E$2)^Tabelle1!$A5-1)))))</f>
        <v>0.36034853921066096</v>
      </c>
      <c r="F5" s="8">
        <f>IF($B$1=Tabelle2!$A$1,(1+Tabelle1!F$2)^Tabelle1!$A5,IF($B$1=Tabelle2!$A$2,(1+Tabelle1!F$2)^(-Tabelle1!$A5),IF($B$1=Tabelle2!$A$3,((1+Tabelle1!F$2)^Tabelle1!$A5-1)/(Tabelle1!F$2*(1+Tabelle1!F$2)^Tabelle1!$A5),IF($B$1=Tabelle2!$A$4,(Tabelle1!F$2*(1+Tabelle1!F$2)^Tabelle1!$A5)/((1+Tabelle1!F$2)^Tabelle1!$A5-1)))))</f>
        <v>0.36720856463124479</v>
      </c>
      <c r="G5" s="8">
        <f>IF($B$1=Tabelle2!$A$1,(1+Tabelle1!G$2)^Tabelle1!$A5,IF($B$1=Tabelle2!$A$2,(1+Tabelle1!G$2)^(-Tabelle1!$A5),IF($B$1=Tabelle2!$A$3,((1+Tabelle1!G$2)^Tabelle1!$A5-1)/(Tabelle1!G$2*(1+Tabelle1!G$2)^Tabelle1!$A5),IF($B$1=Tabelle2!$A$4,(Tabelle1!G$2*(1+Tabelle1!G$2)^Tabelle1!$A5)/((1+Tabelle1!G$2)^Tabelle1!$A5-1)))))</f>
        <v>0.37410981279055111</v>
      </c>
      <c r="H5" s="8">
        <f>IF($B$1=Tabelle2!$A$1,(1+Tabelle1!H$2)^Tabelle1!$A5,IF($B$1=Tabelle2!$A$2,(1+Tabelle1!H$2)^(-Tabelle1!$A5),IF($B$1=Tabelle2!$A$3,((1+Tabelle1!H$2)^Tabelle1!$A5-1)/(Tabelle1!H$2*(1+Tabelle1!H$2)^Tabelle1!$A5),IF($B$1=Tabelle2!$A$4,(Tabelle1!H$2*(1+Tabelle1!H$2)^Tabelle1!$A5)/((1+Tabelle1!H$2)^Tabelle1!$A5-1)))))</f>
        <v>0.38105166568166965</v>
      </c>
      <c r="I5" s="8">
        <f>IF($B$1=Tabelle2!$A$1,(1+Tabelle1!I$2)^Tabelle1!$A5,IF($B$1=Tabelle2!$A$2,(1+Tabelle1!I$2)^(-Tabelle1!$A5),IF($B$1=Tabelle2!$A$3,((1+Tabelle1!I$2)^Tabelle1!$A5-1)/(Tabelle1!I$2*(1+Tabelle1!I$2)^Tabelle1!$A5),IF($B$1=Tabelle2!$A$4,(Tabelle1!I$2*(1+Tabelle1!I$2)^Tabelle1!$A5)/((1+Tabelle1!I$2)^Tabelle1!$A5-1)))))</f>
        <v>0.38803351404632802</v>
      </c>
      <c r="J5" s="8">
        <f>IF($B$1=Tabelle2!$A$1,(1+Tabelle1!J$2)^Tabelle1!$A5,IF($B$1=Tabelle2!$A$2,(1+Tabelle1!J$2)^(-Tabelle1!$A5),IF($B$1=Tabelle2!$A$3,((1+Tabelle1!J$2)^Tabelle1!$A5-1)/(Tabelle1!J$2*(1+Tabelle1!J$2)^Tabelle1!$A5),IF($B$1=Tabelle2!$A$4,(Tabelle1!J$2*(1+Tabelle1!J$2)^Tabelle1!$A5)/((1+Tabelle1!J$2)^Tabelle1!$A5-1)))))</f>
        <v>0.3950547573289403</v>
      </c>
      <c r="K5" s="8">
        <f>IF($B$1=Tabelle2!$A$1,(1+Tabelle1!K$2)^Tabelle1!$A5,IF($B$1=Tabelle2!$A$2,(1+Tabelle1!K$2)^(-Tabelle1!$A5),IF($B$1=Tabelle2!$A$3,((1+Tabelle1!K$2)^Tabelle1!$A5-1)/(Tabelle1!K$2*(1+Tabelle1!K$2)^Tabelle1!$A5),IF($B$1=Tabelle2!$A$4,(Tabelle1!K$2*(1+Tabelle1!K$2)^Tabelle1!$A5)/((1+Tabelle1!K$2)^Tabelle1!$A5-1)))))</f>
        <v>0.40211480362537733</v>
      </c>
      <c r="L5" s="8">
        <f>IF($B$1=Tabelle2!$A$1,(1+Tabelle1!L$2)^Tabelle1!$A5,IF($B$1=Tabelle2!$A$2,(1+Tabelle1!L$2)^(-Tabelle1!$A5),IF($B$1=Tabelle2!$A$3,((1+Tabelle1!L$2)^Tabelle1!$A5-1)/(Tabelle1!L$2*(1+Tabelle1!L$2)^Tabelle1!$A5),IF($B$1=Tabelle2!$A$4,(Tabelle1!L$2*(1+Tabelle1!L$2)^Tabelle1!$A5)/((1+Tabelle1!L$2)^Tabelle1!$A5-1)))))</f>
        <v>0.40921306962688109</v>
      </c>
      <c r="M5" s="8">
        <f>IF($B$1=Tabelle2!$A$1,(1+Tabelle1!M$2)^Tabelle1!$A5,IF($B$1=Tabelle2!$A$2,(1+Tabelle1!M$2)^(-Tabelle1!$A5),IF($B$1=Tabelle2!$A$3,((1+Tabelle1!M$2)^Tabelle1!$A5-1)/(Tabelle1!M$2*(1+Tabelle1!M$2)^Tabelle1!$A5),IF($B$1=Tabelle2!$A$4,(Tabelle1!M$2*(1+Tabelle1!M$2)^Tabelle1!$A5)/((1+Tabelle1!M$2)^Tabelle1!$A5-1)))))</f>
        <v>0.41634898055950659</v>
      </c>
    </row>
    <row r="6" spans="1:13" x14ac:dyDescent="0.2">
      <c r="A6" s="6">
        <v>4</v>
      </c>
      <c r="B6" s="8">
        <f>IF($B$1=Tabelle2!$A$1,(1+Tabelle1!B$2)^Tabelle1!$A6,IF($B$1=Tabelle2!$A$2,(1+Tabelle1!B$2)^(-Tabelle1!$A6),IF($B$1=Tabelle2!$A$3,((1+Tabelle1!B$2)^Tabelle1!$A6-1)/(Tabelle1!B$2*(1+Tabelle1!B$2)^Tabelle1!$A6),IF($B$1=Tabelle2!$A$4,(Tabelle1!B$2*(1+Tabelle1!B$2)^Tabelle1!$A6)/((1+Tabelle1!B$2)^Tabelle1!$A6-1)))))</f>
        <v>0.25628109391166032</v>
      </c>
      <c r="C6" s="8">
        <f>IF($B$1=Tabelle2!$A$1,(1+Tabelle1!C$2)^Tabelle1!$A6,IF($B$1=Tabelle2!$A$2,(1+Tabelle1!C$2)^(-Tabelle1!$A6),IF($B$1=Tabelle2!$A$3,((1+Tabelle1!C$2)^Tabelle1!$A6-1)/(Tabelle1!C$2*(1+Tabelle1!C$2)^Tabelle1!$A6),IF($B$1=Tabelle2!$A$4,(Tabelle1!C$2*(1+Tabelle1!C$2)^Tabelle1!$A6)/((1+Tabelle1!C$2)^Tabelle1!$A6-1)))))</f>
        <v>0.26262375267128762</v>
      </c>
      <c r="D6" s="8">
        <f>IF($B$1=Tabelle2!$A$1,(1+Tabelle1!D$2)^Tabelle1!$A6,IF($B$1=Tabelle2!$A$2,(1+Tabelle1!D$2)^(-Tabelle1!$A6),IF($B$1=Tabelle2!$A$3,((1+Tabelle1!D$2)^Tabelle1!$A6-1)/(Tabelle1!D$2*(1+Tabelle1!D$2)^Tabelle1!$A6),IF($B$1=Tabelle2!$A$4,(Tabelle1!D$2*(1+Tabelle1!D$2)^Tabelle1!$A6)/((1+Tabelle1!D$2)^Tabelle1!$A6-1)))))</f>
        <v>0.26902704519308257</v>
      </c>
      <c r="E6" s="8">
        <f>IF($B$1=Tabelle2!$A$1,(1+Tabelle1!E$2)^Tabelle1!$A6,IF($B$1=Tabelle2!$A$2,(1+Tabelle1!E$2)^(-Tabelle1!$A6),IF($B$1=Tabelle2!$A$3,((1+Tabelle1!E$2)^Tabelle1!$A6-1)/(Tabelle1!E$2*(1+Tabelle1!E$2)^Tabelle1!$A6),IF($B$1=Tabelle2!$A$4,(Tabelle1!E$2*(1+Tabelle1!E$2)^Tabelle1!$A6)/((1+Tabelle1!E$2)^Tabelle1!$A6-1)))))</f>
        <v>0.27549004536480204</v>
      </c>
      <c r="F6" s="8">
        <f>IF($B$1=Tabelle2!$A$1,(1+Tabelle1!F$2)^Tabelle1!$A6,IF($B$1=Tabelle2!$A$2,(1+Tabelle1!F$2)^(-Tabelle1!$A6),IF($B$1=Tabelle2!$A$3,((1+Tabelle1!F$2)^Tabelle1!$A6-1)/(Tabelle1!F$2*(1+Tabelle1!F$2)^Tabelle1!$A6),IF($B$1=Tabelle2!$A$4,(Tabelle1!F$2*(1+Tabelle1!F$2)^Tabelle1!$A6)/((1+Tabelle1!F$2)^Tabelle1!$A6-1)))))</f>
        <v>0.2820118326034628</v>
      </c>
      <c r="G6" s="8">
        <f>IF($B$1=Tabelle2!$A$1,(1+Tabelle1!G$2)^Tabelle1!$A6,IF($B$1=Tabelle2!$A$2,(1+Tabelle1!G$2)^(-Tabelle1!$A6),IF($B$1=Tabelle2!$A$3,((1+Tabelle1!G$2)^Tabelle1!$A6-1)/(Tabelle1!G$2*(1+Tabelle1!G$2)^Tabelle1!$A6),IF($B$1=Tabelle2!$A$4,(Tabelle1!G$2*(1+Tabelle1!G$2)^Tabelle1!$A6)/((1+Tabelle1!G$2)^Tabelle1!$A6-1)))))</f>
        <v>0.28859149237327314</v>
      </c>
      <c r="H6" s="8">
        <f>IF($B$1=Tabelle2!$A$1,(1+Tabelle1!H$2)^Tabelle1!$A6,IF($B$1=Tabelle2!$A$2,(1+Tabelle1!H$2)^(-Tabelle1!$A6),IF($B$1=Tabelle2!$A$3,((1+Tabelle1!H$2)^Tabelle1!$A6-1)/(Tabelle1!H$2*(1+Tabelle1!H$2)^Tabelle1!$A6),IF($B$1=Tabelle2!$A$4,(Tabelle1!H$2*(1+Tabelle1!H$2)^Tabelle1!$A6)/((1+Tabelle1!H$2)^Tabelle1!$A6-1)))))</f>
        <v>0.29522811666726356</v>
      </c>
      <c r="I6" s="8">
        <f>IF($B$1=Tabelle2!$A$1,(1+Tabelle1!I$2)^Tabelle1!$A6,IF($B$1=Tabelle2!$A$2,(1+Tabelle1!I$2)^(-Tabelle1!$A6),IF($B$1=Tabelle2!$A$3,((1+Tabelle1!I$2)^Tabelle1!$A6-1)/(Tabelle1!I$2*(1+Tabelle1!I$2)^Tabelle1!$A6),IF($B$1=Tabelle2!$A$4,(Tabelle1!I$2*(1+Tabelle1!I$2)^Tabelle1!$A6)/((1+Tabelle1!I$2)^Tabelle1!$A6-1)))))</f>
        <v>0.30192080445403913</v>
      </c>
      <c r="J6" s="8">
        <f>IF($B$1=Tabelle2!$A$1,(1+Tabelle1!J$2)^Tabelle1!$A6,IF($B$1=Tabelle2!$A$2,(1+Tabelle1!J$2)^(-Tabelle1!$A6),IF($B$1=Tabelle2!$A$3,((1+Tabelle1!J$2)^Tabelle1!$A6-1)/(Tabelle1!J$2*(1+Tabelle1!J$2)^Tabelle1!$A6),IF($B$1=Tabelle2!$A$4,(Tabelle1!J$2*(1+Tabelle1!J$2)^Tabelle1!$A6)/((1+Tabelle1!J$2)^Tabelle1!$A6-1)))))</f>
        <v>0.30866866209109767</v>
      </c>
      <c r="K6" s="8">
        <f>IF($B$1=Tabelle2!$A$1,(1+Tabelle1!K$2)^Tabelle1!$A6,IF($B$1=Tabelle2!$A$2,(1+Tabelle1!K$2)^(-Tabelle1!$A6),IF($B$1=Tabelle2!$A$3,((1+Tabelle1!K$2)^Tabelle1!$A6-1)/(Tabelle1!K$2*(1+Tabelle1!K$2)^Tabelle1!$A6),IF($B$1=Tabelle2!$A$4,(Tabelle1!K$2*(1+Tabelle1!K$2)^Tabelle1!$A6)/((1+Tabelle1!K$2)^Tabelle1!$A6-1)))))</f>
        <v>0.31547080370609765</v>
      </c>
      <c r="L6" s="8">
        <f>IF($B$1=Tabelle2!$A$1,(1+Tabelle1!L$2)^Tabelle1!$A6,IF($B$1=Tabelle2!$A$2,(1+Tabelle1!L$2)^(-Tabelle1!$A6),IF($B$1=Tabelle2!$A$3,((1+Tabelle1!L$2)^Tabelle1!$A6-1)/(Tabelle1!L$2*(1+Tabelle1!L$2)^Tabelle1!$A6),IF($B$1=Tabelle2!$A$4,(Tabelle1!L$2*(1+Tabelle1!L$2)^Tabelle1!$A6)/((1+Tabelle1!L$2)^Tabelle1!$A6-1)))))</f>
        <v>0.32232635154746614</v>
      </c>
      <c r="M6" s="8">
        <f>IF($B$1=Tabelle2!$A$1,(1+Tabelle1!M$2)^Tabelle1!$A6,IF($B$1=Tabelle2!$A$2,(1+Tabelle1!M$2)^(-Tabelle1!$A6),IF($B$1=Tabelle2!$A$3,((1+Tabelle1!M$2)^Tabelle1!$A6-1)/(Tabelle1!M$2*(1+Tabelle1!M$2)^Tabelle1!$A6),IF($B$1=Tabelle2!$A$4,(Tabelle1!M$2*(1+Tabelle1!M$2)^Tabelle1!$A6)/((1+Tabelle1!M$2)^Tabelle1!$A6-1)))))</f>
        <v>0.32923443630568966</v>
      </c>
    </row>
    <row r="7" spans="1:13" x14ac:dyDescent="0.2">
      <c r="A7" s="6">
        <v>5</v>
      </c>
      <c r="B7" s="8">
        <f>IF($B$1=Tabelle2!$A$1,(1+Tabelle1!B$2)^Tabelle1!$A7,IF($B$1=Tabelle2!$A$2,(1+Tabelle1!B$2)^(-Tabelle1!$A7),IF($B$1=Tabelle2!$A$3,((1+Tabelle1!B$2)^Tabelle1!$A7-1)/(Tabelle1!B$2*(1+Tabelle1!B$2)^Tabelle1!$A7),IF($B$1=Tabelle2!$A$4,(Tabelle1!B$2*(1+Tabelle1!B$2)^Tabelle1!$A7)/((1+Tabelle1!B$2)^Tabelle1!$A7-1)))))</f>
        <v>0.20603979961588031</v>
      </c>
      <c r="C7" s="8">
        <f>IF($B$1=Tabelle2!$A$1,(1+Tabelle1!C$2)^Tabelle1!$A7,IF($B$1=Tabelle2!$A$2,(1+Tabelle1!C$2)^(-Tabelle1!$A7),IF($B$1=Tabelle2!$A$3,((1+Tabelle1!C$2)^Tabelle1!$A7-1)/(Tabelle1!C$2*(1+Tabelle1!C$2)^Tabelle1!$A7),IF($B$1=Tabelle2!$A$4,(Tabelle1!C$2*(1+Tabelle1!C$2)^Tabelle1!$A7)/((1+Tabelle1!C$2)^Tabelle1!$A7-1)))))</f>
        <v>0.21215839410432219</v>
      </c>
      <c r="D7" s="8">
        <f>IF($B$1=Tabelle2!$A$1,(1+Tabelle1!D$2)^Tabelle1!$A7,IF($B$1=Tabelle2!$A$2,(1+Tabelle1!D$2)^(-Tabelle1!$A7),IF($B$1=Tabelle2!$A$3,((1+Tabelle1!D$2)^Tabelle1!$A7-1)/(Tabelle1!D$2*(1+Tabelle1!D$2)^Tabelle1!$A7),IF($B$1=Tabelle2!$A$4,(Tabelle1!D$2*(1+Tabelle1!D$2)^Tabelle1!$A7)/((1+Tabelle1!D$2)^Tabelle1!$A7-1)))))</f>
        <v>0.21835457140057621</v>
      </c>
      <c r="E7" s="8">
        <f>IF($B$1=Tabelle2!$A$1,(1+Tabelle1!E$2)^Tabelle1!$A7,IF($B$1=Tabelle2!$A$2,(1+Tabelle1!E$2)^(-Tabelle1!$A7),IF($B$1=Tabelle2!$A$3,((1+Tabelle1!E$2)^Tabelle1!$A7-1)/(Tabelle1!E$2*(1+Tabelle1!E$2)^Tabelle1!$A7),IF($B$1=Tabelle2!$A$4,(Tabelle1!E$2*(1+Tabelle1!E$2)^Tabelle1!$A7)/((1+Tabelle1!E$2)^Tabelle1!$A7-1)))))</f>
        <v>0.22462711349303363</v>
      </c>
      <c r="F7" s="8">
        <f>IF($B$1=Tabelle2!$A$1,(1+Tabelle1!F$2)^Tabelle1!$A7,IF($B$1=Tabelle2!$A$2,(1+Tabelle1!F$2)^(-Tabelle1!$A7),IF($B$1=Tabelle2!$A$3,((1+Tabelle1!F$2)^Tabelle1!$A7-1)/(Tabelle1!F$2*(1+Tabelle1!F$2)^Tabelle1!$A7),IF($B$1=Tabelle2!$A$4,(Tabelle1!F$2*(1+Tabelle1!F$2)^Tabelle1!$A7)/((1+Tabelle1!F$2)^Tabelle1!$A7-1)))))</f>
        <v>0.23097479812826807</v>
      </c>
      <c r="G7" s="8">
        <f>IF($B$1=Tabelle2!$A$1,(1+Tabelle1!G$2)^Tabelle1!$A7,IF($B$1=Tabelle2!$A$2,(1+Tabelle1!G$2)^(-Tabelle1!$A7),IF($B$1=Tabelle2!$A$3,((1+Tabelle1!G$2)^Tabelle1!$A7-1)/(Tabelle1!G$2*(1+Tabelle1!G$2)^Tabelle1!$A7),IF($B$1=Tabelle2!$A$4,(Tabelle1!G$2*(1+Tabelle1!G$2)^Tabelle1!$A7)/((1+Tabelle1!G$2)^Tabelle1!$A7-1)))))</f>
        <v>0.23739640043118937</v>
      </c>
      <c r="H7" s="8">
        <f>IF($B$1=Tabelle2!$A$1,(1+Tabelle1!H$2)^Tabelle1!$A7,IF($B$1=Tabelle2!$A$2,(1+Tabelle1!H$2)^(-Tabelle1!$A7),IF($B$1=Tabelle2!$A$3,((1+Tabelle1!H$2)^Tabelle1!$A7-1)/(Tabelle1!H$2*(1+Tabelle1!H$2)^Tabelle1!$A7),IF($B$1=Tabelle2!$A$4,(Tabelle1!H$2*(1+Tabelle1!H$2)^Tabelle1!$A7)/((1+Tabelle1!H$2)^Tabelle1!$A7-1)))))</f>
        <v>0.24389069444137401</v>
      </c>
      <c r="I7" s="8">
        <f>IF($B$1=Tabelle2!$A$1,(1+Tabelle1!I$2)^Tabelle1!$A7,IF($B$1=Tabelle2!$A$2,(1+Tabelle1!I$2)^(-Tabelle1!$A7),IF($B$1=Tabelle2!$A$3,((1+Tabelle1!I$2)^Tabelle1!$A7-1)/(Tabelle1!I$2*(1+Tabelle1!I$2)^Tabelle1!$A7),IF($B$1=Tabelle2!$A$4,(Tabelle1!I$2*(1+Tabelle1!I$2)^Tabelle1!$A7)/((1+Tabelle1!I$2)^Tabelle1!$A7-1)))))</f>
        <v>0.25045645456683646</v>
      </c>
      <c r="J7" s="8">
        <f>IF($B$1=Tabelle2!$A$1,(1+Tabelle1!J$2)^Tabelle1!$A7,IF($B$1=Tabelle2!$A$2,(1+Tabelle1!J$2)^(-Tabelle1!$A7),IF($B$1=Tabelle2!$A$3,((1+Tabelle1!J$2)^Tabelle1!$A7-1)/(Tabelle1!J$2*(1+Tabelle1!J$2)^Tabelle1!$A7),IF($B$1=Tabelle2!$A$4,(Tabelle1!J$2*(1+Tabelle1!J$2)^Tabelle1!$A7)/((1+Tabelle1!J$2)^Tabelle1!$A7-1)))))</f>
        <v>0.25709245695674482</v>
      </c>
      <c r="K7" s="8">
        <f>IF($B$1=Tabelle2!$A$1,(1+Tabelle1!K$2)^Tabelle1!$A7,IF($B$1=Tabelle2!$A$2,(1+Tabelle1!K$2)^(-Tabelle1!$A7),IF($B$1=Tabelle2!$A$3,((1+Tabelle1!K$2)^Tabelle1!$A7-1)/(Tabelle1!K$2*(1+Tabelle1!K$2)^Tabelle1!$A7),IF($B$1=Tabelle2!$A$4,(Tabelle1!K$2*(1+Tabelle1!K$2)^Tabelle1!$A7)/((1+Tabelle1!K$2)^Tabelle1!$A7-1)))))</f>
        <v>0.26379748079474524</v>
      </c>
      <c r="L7" s="8">
        <f>IF($B$1=Tabelle2!$A$1,(1+Tabelle1!L$2)^Tabelle1!$A7,IF($B$1=Tabelle2!$A$2,(1+Tabelle1!L$2)^(-Tabelle1!$A7),IF($B$1=Tabelle2!$A$3,((1+Tabelle1!L$2)^Tabelle1!$A7-1)/(Tabelle1!L$2*(1+Tabelle1!L$2)^Tabelle1!$A7),IF($B$1=Tabelle2!$A$4,(Tabelle1!L$2*(1+Tabelle1!L$2)^Tabelle1!$A7)/((1+Tabelle1!L$2)^Tabelle1!$A7-1)))))</f>
        <v>0.27057030951473438</v>
      </c>
      <c r="M7" s="8">
        <f>IF($B$1=Tabelle2!$A$1,(1+Tabelle1!M$2)^Tabelle1!$A7,IF($B$1=Tabelle2!$A$2,(1+Tabelle1!M$2)^(-Tabelle1!$A7),IF($B$1=Tabelle2!$A$3,((1+Tabelle1!M$2)^Tabelle1!$A7-1)/(Tabelle1!M$2*(1+Tabelle1!M$2)^Tabelle1!$A7),IF($B$1=Tabelle2!$A$4,(Tabelle1!M$2*(1+Tabelle1!M$2)^Tabelle1!$A7)/((1+Tabelle1!M$2)^Tabelle1!$A7-1)))))</f>
        <v>0.27740973194104873</v>
      </c>
    </row>
    <row r="8" spans="1:13" x14ac:dyDescent="0.2">
      <c r="A8" s="6">
        <v>6</v>
      </c>
      <c r="B8" s="8">
        <f>IF($B$1=Tabelle2!$A$1,(1+Tabelle1!B$2)^Tabelle1!$A8,IF($B$1=Tabelle2!$A$2,(1+Tabelle1!B$2)^(-Tabelle1!$A8),IF($B$1=Tabelle2!$A$3,((1+Tabelle1!B$2)^Tabelle1!$A8-1)/(Tabelle1!B$2*(1+Tabelle1!B$2)^Tabelle1!$A8),IF($B$1=Tabelle2!$A$4,(Tabelle1!B$2*(1+Tabelle1!B$2)^Tabelle1!$A8)/((1+Tabelle1!B$2)^Tabelle1!$A8-1)))))</f>
        <v>0.17254836671088106</v>
      </c>
      <c r="C8" s="8">
        <f>IF($B$1=Tabelle2!$A$1,(1+Tabelle1!C$2)^Tabelle1!$A8,IF($B$1=Tabelle2!$A$2,(1+Tabelle1!C$2)^(-Tabelle1!$A8),IF($B$1=Tabelle2!$A$3,((1+Tabelle1!C$2)^Tabelle1!$A8-1)/(Tabelle1!C$2*(1+Tabelle1!C$2)^Tabelle1!$A8),IF($B$1=Tabelle2!$A$4,(Tabelle1!C$2*(1+Tabelle1!C$2)^Tabelle1!$A8)/((1+Tabelle1!C$2)^Tabelle1!$A8-1)))))</f>
        <v>0.1785258123352024</v>
      </c>
      <c r="D8" s="8">
        <f>IF($B$1=Tabelle2!$A$1,(1+Tabelle1!D$2)^Tabelle1!$A8,IF($B$1=Tabelle2!$A$2,(1+Tabelle1!D$2)^(-Tabelle1!$A8),IF($B$1=Tabelle2!$A$3,((1+Tabelle1!D$2)^Tabelle1!$A8-1)/(Tabelle1!D$2*(1+Tabelle1!D$2)^Tabelle1!$A8),IF($B$1=Tabelle2!$A$4,(Tabelle1!D$2*(1+Tabelle1!D$2)^Tabelle1!$A8)/((1+Tabelle1!D$2)^Tabelle1!$A8-1)))))</f>
        <v>0.18459750045017728</v>
      </c>
      <c r="E8" s="8">
        <f>IF($B$1=Tabelle2!$A$1,(1+Tabelle1!E$2)^Tabelle1!$A8,IF($B$1=Tabelle2!$A$2,(1+Tabelle1!E$2)^(-Tabelle1!$A8),IF($B$1=Tabelle2!$A$3,((1+Tabelle1!E$2)^Tabelle1!$A8-1)/(Tabelle1!E$2*(1+Tabelle1!E$2)^Tabelle1!$A8),IF($B$1=Tabelle2!$A$4,(Tabelle1!E$2*(1+Tabelle1!E$2)^Tabelle1!$A8)/((1+Tabelle1!E$2)^Tabelle1!$A8-1)))))</f>
        <v>0.1907619025079538</v>
      </c>
      <c r="F8" s="8">
        <f>IF($B$1=Tabelle2!$A$1,(1+Tabelle1!F$2)^Tabelle1!$A8,IF($B$1=Tabelle2!$A$2,(1+Tabelle1!F$2)^(-Tabelle1!$A8),IF($B$1=Tabelle2!$A$3,((1+Tabelle1!F$2)^Tabelle1!$A8-1)/(Tabelle1!F$2*(1+Tabelle1!F$2)^Tabelle1!$A8),IF($B$1=Tabelle2!$A$4,(Tabelle1!F$2*(1+Tabelle1!F$2)^Tabelle1!$A8)/((1+Tabelle1!F$2)^Tabelle1!$A8-1)))))</f>
        <v>0.19701746811018833</v>
      </c>
      <c r="G8" s="8">
        <f>IF($B$1=Tabelle2!$A$1,(1+Tabelle1!G$2)^Tabelle1!$A8,IF($B$1=Tabelle2!$A$2,(1+Tabelle1!G$2)^(-Tabelle1!$A8),IF($B$1=Tabelle2!$A$3,((1+Tabelle1!G$2)^Tabelle1!$A8-1)/(Tabelle1!G$2*(1+Tabelle1!G$2)^Tabelle1!$A8),IF($B$1=Tabelle2!$A$4,(Tabelle1!G$2*(1+Tabelle1!G$2)^Tabelle1!$A8)/((1+Tabelle1!G$2)^Tabelle1!$A8-1)))))</f>
        <v>0.20336262847489528</v>
      </c>
      <c r="H8" s="8">
        <f>IF($B$1=Tabelle2!$A$1,(1+Tabelle1!H$2)^Tabelle1!$A8,IF($B$1=Tabelle2!$A$2,(1+Tabelle1!H$2)^(-Tabelle1!$A8),IF($B$1=Tabelle2!$A$3,((1+Tabelle1!H$2)^Tabelle1!$A8-1)/(Tabelle1!H$2*(1+Tabelle1!H$2)^Tabelle1!$A8),IF($B$1=Tabelle2!$A$4,(Tabelle1!H$2*(1+Tabelle1!H$2)^Tabelle1!$A8)/((1+Tabelle1!H$2)^Tabelle1!$A8-1)))))</f>
        <v>0.20979579975832816</v>
      </c>
      <c r="I8" s="8">
        <f>IF($B$1=Tabelle2!$A$1,(1+Tabelle1!I$2)^Tabelle1!$A8,IF($B$1=Tabelle2!$A$2,(1+Tabelle1!I$2)^(-Tabelle1!$A8),IF($B$1=Tabelle2!$A$3,((1+Tabelle1!I$2)^Tabelle1!$A8-1)/(Tabelle1!I$2*(1+Tabelle1!I$2)^Tabelle1!$A8),IF($B$1=Tabelle2!$A$4,(Tabelle1!I$2*(1+Tabelle1!I$2)^Tabelle1!$A8)/((1+Tabelle1!I$2)^Tabelle1!$A8-1)))))</f>
        <v>0.2163153862290097</v>
      </c>
      <c r="J8" s="8">
        <f>IF($B$1=Tabelle2!$A$1,(1+Tabelle1!J$2)^Tabelle1!$A8,IF($B$1=Tabelle2!$A$2,(1+Tabelle1!J$2)^(-Tabelle1!$A8),IF($B$1=Tabelle2!$A$3,((1+Tabelle1!J$2)^Tabelle1!$A8-1)/(Tabelle1!J$2*(1+Tabelle1!J$2)^Tabelle1!$A8),IF($B$1=Tabelle2!$A$4,(Tabelle1!J$2*(1+Tabelle1!J$2)^Tabelle1!$A8)/((1+Tabelle1!J$2)^Tabelle1!$A8-1)))))</f>
        <v>0.22291978329203693</v>
      </c>
      <c r="K8" s="8">
        <f>IF($B$1=Tabelle2!$A$1,(1+Tabelle1!K$2)^Tabelle1!$A8,IF($B$1=Tabelle2!$A$2,(1+Tabelle1!K$2)^(-Tabelle1!$A8),IF($B$1=Tabelle2!$A$3,((1+Tabelle1!K$2)^Tabelle1!$A8-1)/(Tabelle1!K$2*(1+Tabelle1!K$2)^Tabelle1!$A8),IF($B$1=Tabelle2!$A$4,(Tabelle1!K$2*(1+Tabelle1!K$2)^Tabelle1!$A8)/((1+Tabelle1!K$2)^Tabelle1!$A8-1)))))</f>
        <v>0.22960738036266726</v>
      </c>
      <c r="L8" s="8">
        <f>IF($B$1=Tabelle2!$A$1,(1+Tabelle1!L$2)^Tabelle1!$A8,IF($B$1=Tabelle2!$A$2,(1+Tabelle1!L$2)^(-Tabelle1!$A8),IF($B$1=Tabelle2!$A$3,((1+Tabelle1!L$2)^Tabelle1!$A8-1)/(Tabelle1!L$2*(1+Tabelle1!L$2)^Tabelle1!$A8),IF($B$1=Tabelle2!$A$4,(Tabelle1!L$2*(1+Tabelle1!L$2)^Tabelle1!$A8)/((1+Tabelle1!L$2)^Tabelle1!$A8-1)))))</f>
        <v>0.23637656358903947</v>
      </c>
      <c r="M8" s="8">
        <f>IF($B$1=Tabelle2!$A$1,(1+Tabelle1!M$2)^Tabelle1!$A8,IF($B$1=Tabelle2!$A$2,(1+Tabelle1!M$2)^(-Tabelle1!$A8),IF($B$1=Tabelle2!$A$3,((1+Tabelle1!M$2)^Tabelle1!$A8-1)/(Tabelle1!M$2*(1+Tabelle1!M$2)^Tabelle1!$A8),IF($B$1=Tabelle2!$A$4,(Tabelle1!M$2*(1+Tabelle1!M$2)^Tabelle1!$A8)/((1+Tabelle1!M$2)^Tabelle1!$A8-1)))))</f>
        <v>0.24322571842462917</v>
      </c>
    </row>
    <row r="9" spans="1:13" x14ac:dyDescent="0.2">
      <c r="A9" s="6">
        <v>7</v>
      </c>
      <c r="B9" s="8">
        <f>IF($B$1=Tabelle2!$A$1,(1+Tabelle1!B$2)^Tabelle1!$A9,IF($B$1=Tabelle2!$A$2,(1+Tabelle1!B$2)^(-Tabelle1!$A9),IF($B$1=Tabelle2!$A$3,((1+Tabelle1!B$2)^Tabelle1!$A9-1)/(Tabelle1!B$2*(1+Tabelle1!B$2)^Tabelle1!$A9),IF($B$1=Tabelle2!$A$4,(Tabelle1!B$2*(1+Tabelle1!B$2)^Tabelle1!$A9)/((1+Tabelle1!B$2)^Tabelle1!$A9-1)))))</f>
        <v>0.14862828291411692</v>
      </c>
      <c r="C9" s="8">
        <f>IF($B$1=Tabelle2!$A$1,(1+Tabelle1!C$2)^Tabelle1!$A9,IF($B$1=Tabelle2!$A$2,(1+Tabelle1!C$2)^(-Tabelle1!$A9),IF($B$1=Tabelle2!$A$3,((1+Tabelle1!C$2)^Tabelle1!$A9-1)/(Tabelle1!C$2*(1+Tabelle1!C$2)^Tabelle1!$A9),IF($B$1=Tabelle2!$A$4,(Tabelle1!C$2*(1+Tabelle1!C$2)^Tabelle1!$A9)/((1+Tabelle1!C$2)^Tabelle1!$A9-1)))))</f>
        <v>0.1545119561030997</v>
      </c>
      <c r="D9" s="8">
        <f>IF($B$1=Tabelle2!$A$1,(1+Tabelle1!D$2)^Tabelle1!$A9,IF($B$1=Tabelle2!$A$2,(1+Tabelle1!D$2)^(-Tabelle1!$A9),IF($B$1=Tabelle2!$A$3,((1+Tabelle1!D$2)^Tabelle1!$A9-1)/(Tabelle1!D$2*(1+Tabelle1!D$2)^Tabelle1!$A9),IF($B$1=Tabelle2!$A$4,(Tabelle1!D$2*(1+Tabelle1!D$2)^Tabelle1!$A9)/((1+Tabelle1!D$2)^Tabelle1!$A9-1)))))</f>
        <v>0.16050635375427202</v>
      </c>
      <c r="E9" s="8">
        <f>IF($B$1=Tabelle2!$A$1,(1+Tabelle1!E$2)^Tabelle1!$A9,IF($B$1=Tabelle2!$A$2,(1+Tabelle1!E$2)^(-Tabelle1!$A9),IF($B$1=Tabelle2!$A$3,((1+Tabelle1!E$2)^Tabelle1!$A9-1)/(Tabelle1!E$2*(1+Tabelle1!E$2)^Tabelle1!$A9),IF($B$1=Tabelle2!$A$4,(Tabelle1!E$2*(1+Tabelle1!E$2)^Tabelle1!$A9)/((1+Tabelle1!E$2)^Tabelle1!$A9-1)))))</f>
        <v>0.16660961203950414</v>
      </c>
      <c r="F9" s="8">
        <f>IF($B$1=Tabelle2!$A$1,(1+Tabelle1!F$2)^Tabelle1!$A9,IF($B$1=Tabelle2!$A$2,(1+Tabelle1!F$2)^(-Tabelle1!$A9),IF($B$1=Tabelle2!$A$3,((1+Tabelle1!F$2)^Tabelle1!$A9-1)/(Tabelle1!F$2*(1+Tabelle1!F$2)^Tabelle1!$A9),IF($B$1=Tabelle2!$A$4,(Tabelle1!F$2*(1+Tabelle1!F$2)^Tabelle1!$A9)/((1+Tabelle1!F$2)^Tabelle1!$A9-1)))))</f>
        <v>0.17281981844617067</v>
      </c>
      <c r="G9" s="8">
        <f>IF($B$1=Tabelle2!$A$1,(1+Tabelle1!G$2)^Tabelle1!$A9,IF($B$1=Tabelle2!$A$2,(1+Tabelle1!G$2)^(-Tabelle1!$A9),IF($B$1=Tabelle2!$A$3,((1+Tabelle1!G$2)^Tabelle1!$A9-1)/(Tabelle1!G$2*(1+Tabelle1!G$2)^Tabelle1!$A9),IF($B$1=Tabelle2!$A$4,(Tabelle1!G$2*(1+Tabelle1!G$2)^Tabelle1!$A9)/((1+Tabelle1!G$2)^Tabelle1!$A9-1)))))</f>
        <v>0.17913501805901069</v>
      </c>
      <c r="H9" s="8">
        <f>IF($B$1=Tabelle2!$A$1,(1+Tabelle1!H$2)^Tabelle1!$A9,IF($B$1=Tabelle2!$A$2,(1+Tabelle1!H$2)^(-Tabelle1!$A9),IF($B$1=Tabelle2!$A$3,((1+Tabelle1!H$2)^Tabelle1!$A9-1)/(Tabelle1!H$2*(1+Tabelle1!H$2)^Tabelle1!$A9),IF($B$1=Tabelle2!$A$4,(Tabelle1!H$2*(1+Tabelle1!H$2)^Tabelle1!$A9)/((1+Tabelle1!H$2)^Tabelle1!$A9-1)))))</f>
        <v>0.18555321963115931</v>
      </c>
      <c r="I9" s="8">
        <f>IF($B$1=Tabelle2!$A$1,(1+Tabelle1!I$2)^Tabelle1!$A9,IF($B$1=Tabelle2!$A$2,(1+Tabelle1!I$2)^(-Tabelle1!$A9),IF($B$1=Tabelle2!$A$3,((1+Tabelle1!I$2)^Tabelle1!$A9-1)/(Tabelle1!I$2*(1+Tabelle1!I$2)^Tabelle1!$A9),IF($B$1=Tabelle2!$A$4,(Tabelle1!I$2*(1+Tabelle1!I$2)^Tabelle1!$A9)/((1+Tabelle1!I$2)^Tabelle1!$A9-1)))))</f>
        <v>0.19207240142841048</v>
      </c>
      <c r="J9" s="8">
        <f>IF($B$1=Tabelle2!$A$1,(1+Tabelle1!J$2)^Tabelle1!$A9,IF($B$1=Tabelle2!$A$2,(1+Tabelle1!J$2)^(-Tabelle1!$A9),IF($B$1=Tabelle2!$A$3,((1+Tabelle1!J$2)^Tabelle1!$A9-1)/(Tabelle1!J$2*(1+Tabelle1!J$2)^Tabelle1!$A9),IF($B$1=Tabelle2!$A$4,(Tabelle1!J$2*(1+Tabelle1!J$2)^Tabelle1!$A9)/((1+Tabelle1!J$2)^Tabelle1!$A9-1)))))</f>
        <v>0.1986905168335929</v>
      </c>
      <c r="K9" s="8">
        <f>IF($B$1=Tabelle2!$A$1,(1+Tabelle1!K$2)^Tabelle1!$A9,IF($B$1=Tabelle2!$A$2,(1+Tabelle1!K$2)^(-Tabelle1!$A9),IF($B$1=Tabelle2!$A$3,((1+Tabelle1!K$2)^Tabelle1!$A9-1)/(Tabelle1!K$2*(1+Tabelle1!K$2)^Tabelle1!$A9),IF($B$1=Tabelle2!$A$4,(Tabelle1!K$2*(1+Tabelle1!K$2)^Tabelle1!$A9)/((1+Tabelle1!K$2)^Tabelle1!$A9-1)))))</f>
        <v>0.20540549970059557</v>
      </c>
      <c r="L9" s="8">
        <f>IF($B$1=Tabelle2!$A$1,(1+Tabelle1!L$2)^Tabelle1!$A9,IF($B$1=Tabelle2!$A$2,(1+Tabelle1!L$2)^(-Tabelle1!$A9),IF($B$1=Tabelle2!$A$3,((1+Tabelle1!L$2)^Tabelle1!$A9-1)/(Tabelle1!L$2*(1+Tabelle1!L$2)^Tabelle1!$A9),IF($B$1=Tabelle2!$A$4,(Tabelle1!L$2*(1+Tabelle1!L$2)^Tabelle1!$A9)/((1+Tabelle1!L$2)^Tabelle1!$A9-1)))))</f>
        <v>0.21221526945009764</v>
      </c>
      <c r="M9" s="8">
        <f>IF($B$1=Tabelle2!$A$1,(1+Tabelle1!M$2)^Tabelle1!$A9,IF($B$1=Tabelle2!$A$2,(1+Tabelle1!M$2)^(-Tabelle1!$A9),IF($B$1=Tabelle2!$A$3,((1+Tabelle1!M$2)^Tabelle1!$A9-1)/(Tabelle1!M$2*(1+Tabelle1!M$2)^Tabelle1!$A9),IF($B$1=Tabelle2!$A$4,(Tabelle1!M$2*(1+Tabelle1!M$2)^Tabelle1!$A9)/((1+Tabelle1!M$2)^Tabelle1!$A9-1)))))</f>
        <v>0.21911773590139078</v>
      </c>
    </row>
    <row r="10" spans="1:13" x14ac:dyDescent="0.2">
      <c r="A10" s="6">
        <v>8</v>
      </c>
      <c r="B10" s="8">
        <f>IF($B$1=Tabelle2!$A$1,(1+Tabelle1!B$2)^Tabelle1!$A10,IF($B$1=Tabelle2!$A$2,(1+Tabelle1!B$2)^(-Tabelle1!$A10),IF($B$1=Tabelle2!$A$3,((1+Tabelle1!B$2)^Tabelle1!$A10-1)/(Tabelle1!B$2*(1+Tabelle1!B$2)^Tabelle1!$A10),IF($B$1=Tabelle2!$A$4,(Tabelle1!B$2*(1+Tabelle1!B$2)^Tabelle1!$A10)/((1+Tabelle1!B$2)^Tabelle1!$A10-1)))))</f>
        <v>0.13069029204331517</v>
      </c>
      <c r="C10" s="8">
        <f>IF($B$1=Tabelle2!$A$1,(1+Tabelle1!C$2)^Tabelle1!$A10,IF($B$1=Tabelle2!$A$2,(1+Tabelle1!C$2)^(-Tabelle1!$A10),IF($B$1=Tabelle2!$A$3,((1+Tabelle1!C$2)^Tabelle1!$A10-1)/(Tabelle1!C$2*(1+Tabelle1!C$2)^Tabelle1!$A10),IF($B$1=Tabelle2!$A$4,(Tabelle1!C$2*(1+Tabelle1!C$2)^Tabelle1!$A10)/((1+Tabelle1!C$2)^Tabelle1!$A10-1)))))</f>
        <v>0.13650979913376274</v>
      </c>
      <c r="D10" s="8">
        <f>IF($B$1=Tabelle2!$A$1,(1+Tabelle1!D$2)^Tabelle1!$A10,IF($B$1=Tabelle2!$A$2,(1+Tabelle1!D$2)^(-Tabelle1!$A10),IF($B$1=Tabelle2!$A$3,((1+Tabelle1!D$2)^Tabelle1!$A10-1)/(Tabelle1!D$2*(1+Tabelle1!D$2)^Tabelle1!$A10),IF($B$1=Tabelle2!$A$4,(Tabelle1!D$2*(1+Tabelle1!D$2)^Tabelle1!$A10)/((1+Tabelle1!D$2)^Tabelle1!$A10-1)))))</f>
        <v>0.14245638882723924</v>
      </c>
      <c r="E10" s="8">
        <f>IF($B$1=Tabelle2!$A$1,(1+Tabelle1!E$2)^Tabelle1!$A10,IF($B$1=Tabelle2!$A$2,(1+Tabelle1!E$2)^(-Tabelle1!$A10),IF($B$1=Tabelle2!$A$3,((1+Tabelle1!E$2)^Tabelle1!$A10-1)/(Tabelle1!E$2*(1+Tabelle1!E$2)^Tabelle1!$A10),IF($B$1=Tabelle2!$A$4,(Tabelle1!E$2*(1+Tabelle1!E$2)^Tabelle1!$A10)/((1+Tabelle1!E$2)^Tabelle1!$A10-1)))))</f>
        <v>0.14852783204671277</v>
      </c>
      <c r="F10" s="8">
        <f>IF($B$1=Tabelle2!$A$1,(1+Tabelle1!F$2)^Tabelle1!$A10,IF($B$1=Tabelle2!$A$2,(1+Tabelle1!F$2)^(-Tabelle1!$A10),IF($B$1=Tabelle2!$A$3,((1+Tabelle1!F$2)^Tabelle1!$A10-1)/(Tabelle1!F$2*(1+Tabelle1!F$2)^Tabelle1!$A10),IF($B$1=Tabelle2!$A$4,(Tabelle1!F$2*(1+Tabelle1!F$2)^Tabelle1!$A10)/((1+Tabelle1!F$2)^Tabelle1!$A10-1)))))</f>
        <v>0.15472181362768117</v>
      </c>
      <c r="G10" s="8">
        <f>IF($B$1=Tabelle2!$A$1,(1+Tabelle1!G$2)^Tabelle1!$A10,IF($B$1=Tabelle2!$A$2,(1+Tabelle1!G$2)^(-Tabelle1!$A10),IF($B$1=Tabelle2!$A$3,((1+Tabelle1!G$2)^Tabelle1!$A10-1)/(Tabelle1!G$2*(1+Tabelle1!G$2)^Tabelle1!$A10),IF($B$1=Tabelle2!$A$4,(Tabelle1!G$2*(1+Tabelle1!G$2)^Tabelle1!$A10)/((1+Tabelle1!G$2)^Tabelle1!$A10-1)))))</f>
        <v>0.16103594264812895</v>
      </c>
      <c r="H10" s="8">
        <f>IF($B$1=Tabelle2!$A$1,(1+Tabelle1!H$2)^Tabelle1!$A10,IF($B$1=Tabelle2!$A$2,(1+Tabelle1!H$2)^(-Tabelle1!$A10),IF($B$1=Tabelle2!$A$3,((1+Tabelle1!H$2)^Tabelle1!$A10-1)/(Tabelle1!H$2*(1+Tabelle1!H$2)^Tabelle1!$A10),IF($B$1=Tabelle2!$A$4,(Tabelle1!H$2*(1+Tabelle1!H$2)^Tabelle1!$A10)/((1+Tabelle1!H$2)^Tabelle1!$A10-1)))))</f>
        <v>0.16746776249075465</v>
      </c>
      <c r="I10" s="8">
        <f>IF($B$1=Tabelle2!$A$1,(1+Tabelle1!I$2)^Tabelle1!$A10,IF($B$1=Tabelle2!$A$2,(1+Tabelle1!I$2)^(-Tabelle1!$A10),IF($B$1=Tabelle2!$A$3,((1+Tabelle1!I$2)^Tabelle1!$A10-1)/(Tabelle1!I$2*(1+Tabelle1!I$2)^Tabelle1!$A10),IF($B$1=Tabelle2!$A$4,(Tabelle1!I$2*(1+Tabelle1!I$2)^Tabelle1!$A10)/((1+Tabelle1!I$2)^Tabelle1!$A10-1)))))</f>
        <v>0.17401476059182211</v>
      </c>
      <c r="J10" s="8">
        <f>IF($B$1=Tabelle2!$A$1,(1+Tabelle1!J$2)^Tabelle1!$A10,IF($B$1=Tabelle2!$A$2,(1+Tabelle1!J$2)^(-Tabelle1!$A10),IF($B$1=Tabelle2!$A$3,((1+Tabelle1!J$2)^Tabelle1!$A10-1)/(Tabelle1!J$2*(1+Tabelle1!J$2)^Tabelle1!$A10),IF($B$1=Tabelle2!$A$4,(Tabelle1!J$2*(1+Tabelle1!J$2)^Tabelle1!$A10)/((1+Tabelle1!J$2)^Tabelle1!$A10-1)))))</f>
        <v>0.18067437783749629</v>
      </c>
      <c r="K10" s="8">
        <f>IF($B$1=Tabelle2!$A$1,(1+Tabelle1!K$2)^Tabelle1!$A10,IF($B$1=Tabelle2!$A$2,(1+Tabelle1!K$2)^(-Tabelle1!$A10),IF($B$1=Tabelle2!$A$3,((1+Tabelle1!K$2)^Tabelle1!$A10-1)/(Tabelle1!K$2*(1+Tabelle1!K$2)^Tabelle1!$A10),IF($B$1=Tabelle2!$A$4,(Tabelle1!K$2*(1+Tabelle1!K$2)^Tabelle1!$A10)/((1+Tabelle1!K$2)^Tabelle1!$A10-1)))))</f>
        <v>0.18744401757481335</v>
      </c>
      <c r="L10" s="8">
        <f>IF($B$1=Tabelle2!$A$1,(1+Tabelle1!L$2)^Tabelle1!$A10,IF($B$1=Tabelle2!$A$2,(1+Tabelle1!L$2)^(-Tabelle1!$A10),IF($B$1=Tabelle2!$A$3,((1+Tabelle1!L$2)^Tabelle1!$A10-1)/(Tabelle1!L$2*(1+Tabelle1!L$2)^Tabelle1!$A10),IF($B$1=Tabelle2!$A$4,(Tabelle1!L$2*(1+Tabelle1!L$2)^Tabelle1!$A10)/((1+Tabelle1!L$2)^Tabelle1!$A10-1)))))</f>
        <v>0.19432105421050003</v>
      </c>
      <c r="M10" s="8">
        <f>IF($B$1=Tabelle2!$A$1,(1+Tabelle1!M$2)^Tabelle1!$A10,IF($B$1=Tabelle2!$A$2,(1+Tabelle1!M$2)^(-Tabelle1!$A10),IF($B$1=Tabelle2!$A$3,((1+Tabelle1!M$2)^Tabelle1!$A10-1)/(Tabelle1!M$2*(1+Tabelle1!M$2)^Tabelle1!$A10),IF($B$1=Tabelle2!$A$4,(Tabelle1!M$2*(1+Tabelle1!M$2)^Tabelle1!$A10)/((1+Tabelle1!M$2)^Tabelle1!$A10-1)))))</f>
        <v>0.20130284137660018</v>
      </c>
    </row>
    <row r="11" spans="1:13" x14ac:dyDescent="0.2">
      <c r="A11" s="6">
        <v>9</v>
      </c>
      <c r="B11" s="8">
        <f>IF($B$1=Tabelle2!$A$1,(1+Tabelle1!B$2)^Tabelle1!$A11,IF($B$1=Tabelle2!$A$2,(1+Tabelle1!B$2)^(-Tabelle1!$A11),IF($B$1=Tabelle2!$A$3,((1+Tabelle1!B$2)^Tabelle1!$A11-1)/(Tabelle1!B$2*(1+Tabelle1!B$2)^Tabelle1!$A11),IF($B$1=Tabelle2!$A$4,(Tabelle1!B$2*(1+Tabelle1!B$2)^Tabelle1!$A11)/((1+Tabelle1!B$2)^Tabelle1!$A11-1)))))</f>
        <v>0.11674036284968087</v>
      </c>
      <c r="C11" s="8">
        <f>IF($B$1=Tabelle2!$A$1,(1+Tabelle1!C$2)^Tabelle1!$A11,IF($B$1=Tabelle2!$A$2,(1+Tabelle1!C$2)^(-Tabelle1!$A11),IF($B$1=Tabelle2!$A$3,((1+Tabelle1!C$2)^Tabelle1!$A11-1)/(Tabelle1!C$2*(1+Tabelle1!C$2)^Tabelle1!$A11),IF($B$1=Tabelle2!$A$4,(Tabelle1!C$2*(1+Tabelle1!C$2)^Tabelle1!$A11)/((1+Tabelle1!C$2)^Tabelle1!$A11-1)))))</f>
        <v>0.12251543737024126</v>
      </c>
      <c r="D11" s="8">
        <f>IF($B$1=Tabelle2!$A$1,(1+Tabelle1!D$2)^Tabelle1!$A11,IF($B$1=Tabelle2!$A$2,(1+Tabelle1!D$2)^(-Tabelle1!$A11),IF($B$1=Tabelle2!$A$3,((1+Tabelle1!D$2)^Tabelle1!$A11-1)/(Tabelle1!D$2*(1+Tabelle1!D$2)^Tabelle1!$A11),IF($B$1=Tabelle2!$A$4,(Tabelle1!D$2*(1+Tabelle1!D$2)^Tabelle1!$A11)/((1+Tabelle1!D$2)^Tabelle1!$A11-1)))))</f>
        <v>0.12843385701810342</v>
      </c>
      <c r="E11" s="8">
        <f>IF($B$1=Tabelle2!$A$1,(1+Tabelle1!E$2)^Tabelle1!$A11,IF($B$1=Tabelle2!$A$2,(1+Tabelle1!E$2)^(-Tabelle1!$A11),IF($B$1=Tabelle2!$A$3,((1+Tabelle1!E$2)^Tabelle1!$A11-1)/(Tabelle1!E$2*(1+Tabelle1!E$2)^Tabelle1!$A11),IF($B$1=Tabelle2!$A$4,(Tabelle1!E$2*(1+Tabelle1!E$2)^Tabelle1!$A11)/((1+Tabelle1!E$2)^Tabelle1!$A11-1)))))</f>
        <v>0.13449299269771522</v>
      </c>
      <c r="F11" s="8">
        <f>IF($B$1=Tabelle2!$A$1,(1+Tabelle1!F$2)^Tabelle1!$A11,IF($B$1=Tabelle2!$A$2,(1+Tabelle1!F$2)^(-Tabelle1!$A11),IF($B$1=Tabelle2!$A$3,((1+Tabelle1!F$2)^Tabelle1!$A11-1)/(Tabelle1!F$2*(1+Tabelle1!F$2)^Tabelle1!$A11),IF($B$1=Tabelle2!$A$4,(Tabelle1!F$2*(1+Tabelle1!F$2)^Tabelle1!$A11)/((1+Tabelle1!F$2)^Tabelle1!$A11-1)))))</f>
        <v>0.14069007997578778</v>
      </c>
      <c r="G11" s="8">
        <f>IF($B$1=Tabelle2!$A$1,(1+Tabelle1!G$2)^Tabelle1!$A11,IF($B$1=Tabelle2!$A$2,(1+Tabelle1!G$2)^(-Tabelle1!$A11),IF($B$1=Tabelle2!$A$3,((1+Tabelle1!G$2)^Tabelle1!$A11-1)/(Tabelle1!G$2*(1+Tabelle1!G$2)^Tabelle1!$A11),IF($B$1=Tabelle2!$A$4,(Tabelle1!G$2*(1+Tabelle1!G$2)^Tabelle1!$A11)/((1+Tabelle1!G$2)^Tabelle1!$A11-1)))))</f>
        <v>0.14702223500306361</v>
      </c>
      <c r="H11" s="8">
        <f>IF($B$1=Tabelle2!$A$1,(1+Tabelle1!H$2)^Tabelle1!$A11,IF($B$1=Tabelle2!$A$2,(1+Tabelle1!H$2)^(-Tabelle1!$A11),IF($B$1=Tabelle2!$A$3,((1+Tabelle1!H$2)^Tabelle1!$A11-1)/(Tabelle1!H$2*(1+Tabelle1!H$2)^Tabelle1!$A11),IF($B$1=Tabelle2!$A$4,(Tabelle1!H$2*(1+Tabelle1!H$2)^Tabelle1!$A11)/((1+Tabelle1!H$2)^Tabelle1!$A11-1)))))</f>
        <v>0.15348647013842193</v>
      </c>
      <c r="I11" s="8">
        <f>IF($B$1=Tabelle2!$A$1,(1+Tabelle1!I$2)^Tabelle1!$A11,IF($B$1=Tabelle2!$A$2,(1+Tabelle1!I$2)^(-Tabelle1!$A11),IF($B$1=Tabelle2!$A$3,((1+Tabelle1!I$2)^Tabelle1!$A11-1)/(Tabelle1!I$2*(1+Tabelle1!I$2)^Tabelle1!$A11),IF($B$1=Tabelle2!$A$4,(Tabelle1!I$2*(1+Tabelle1!I$2)^Tabelle1!$A11)/((1+Tabelle1!I$2)^Tabelle1!$A11-1)))))</f>
        <v>0.16007970917199468</v>
      </c>
      <c r="J11" s="8">
        <f>IF($B$1=Tabelle2!$A$1,(1+Tabelle1!J$2)^Tabelle1!$A11,IF($B$1=Tabelle2!$A$2,(1+Tabelle1!J$2)^(-Tabelle1!$A11),IF($B$1=Tabelle2!$A$3,((1+Tabelle1!J$2)^Tabelle1!$A11-1)/(Tabelle1!J$2*(1+Tabelle1!J$2)^Tabelle1!$A11),IF($B$1=Tabelle2!$A$4,(Tabelle1!J$2*(1+Tabelle1!J$2)^Tabelle1!$A11)/((1+Tabelle1!J$2)^Tabelle1!$A11-1)))))</f>
        <v>0.1667988020571548</v>
      </c>
      <c r="K11" s="8">
        <f>IF($B$1=Tabelle2!$A$1,(1+Tabelle1!K$2)^Tabelle1!$A11,IF($B$1=Tabelle2!$A$2,(1+Tabelle1!K$2)^(-Tabelle1!$A11),IF($B$1=Tabelle2!$A$3,((1+Tabelle1!K$2)^Tabelle1!$A11-1)/(Tabelle1!K$2*(1+Tabelle1!K$2)^Tabelle1!$A11),IF($B$1=Tabelle2!$A$4,(Tabelle1!K$2*(1+Tabelle1!K$2)^Tabelle1!$A11)/((1+Tabelle1!K$2)^Tabelle1!$A11-1)))))</f>
        <v>0.1736405390743434</v>
      </c>
      <c r="L11" s="8">
        <f>IF($B$1=Tabelle2!$A$1,(1+Tabelle1!L$2)^Tabelle1!$A11,IF($B$1=Tabelle2!$A$2,(1+Tabelle1!L$2)^(-Tabelle1!$A11),IF($B$1=Tabelle2!$A$3,((1+Tabelle1!L$2)^Tabelle1!$A11-1)/(Tabelle1!L$2*(1+Tabelle1!L$2)^Tabelle1!$A11),IF($B$1=Tabelle2!$A$4,(Tabelle1!L$2*(1+Tabelle1!L$2)^Tabelle1!$A11)/((1+Tabelle1!L$2)^Tabelle1!$A11-1)))))</f>
        <v>0.18060166436255287</v>
      </c>
      <c r="M11" s="8">
        <f>IF($B$1=Tabelle2!$A$1,(1+Tabelle1!M$2)^Tabelle1!$A11,IF($B$1=Tabelle2!$A$2,(1+Tabelle1!M$2)^(-Tabelle1!$A11),IF($B$1=Tabelle2!$A$3,((1+Tabelle1!M$2)^Tabelle1!$A11-1)/(Tabelle1!M$2*(1+Tabelle1!M$2)^Tabelle1!$A11),IF($B$1=Tabelle2!$A$4,(Tabelle1!M$2*(1+Tabelle1!M$2)^Tabelle1!$A11)/((1+Tabelle1!M$2)^Tabelle1!$A11-1)))))</f>
        <v>0.18767888876666056</v>
      </c>
    </row>
    <row r="12" spans="1:13" x14ac:dyDescent="0.2">
      <c r="A12" s="6">
        <v>10</v>
      </c>
      <c r="B12" s="8">
        <f>IF($B$1=Tabelle2!$A$1,(1+Tabelle1!B$2)^Tabelle1!$A12,IF($B$1=Tabelle2!$A$2,(1+Tabelle1!B$2)^(-Tabelle1!$A12),IF($B$1=Tabelle2!$A$3,((1+Tabelle1!B$2)^Tabelle1!$A12-1)/(Tabelle1!B$2*(1+Tabelle1!B$2)^Tabelle1!$A12),IF($B$1=Tabelle2!$A$4,(Tabelle1!B$2*(1+Tabelle1!B$2)^Tabelle1!$A12)/((1+Tabelle1!B$2)^Tabelle1!$A12-1)))))</f>
        <v>0.10558207655117115</v>
      </c>
      <c r="C12" s="8">
        <f>IF($B$1=Tabelle2!$A$1,(1+Tabelle1!C$2)^Tabelle1!$A12,IF($B$1=Tabelle2!$A$2,(1+Tabelle1!C$2)^(-Tabelle1!$A12),IF($B$1=Tabelle2!$A$3,((1+Tabelle1!C$2)^Tabelle1!$A12-1)/(Tabelle1!C$2*(1+Tabelle1!C$2)^Tabelle1!$A12),IF($B$1=Tabelle2!$A$4,(Tabelle1!C$2*(1+Tabelle1!C$2)^Tabelle1!$A12)/((1+Tabelle1!C$2)^Tabelle1!$A12-1)))))</f>
        <v>0.11132652786531647</v>
      </c>
      <c r="D12" s="8">
        <f>IF($B$1=Tabelle2!$A$1,(1+Tabelle1!D$2)^Tabelle1!$A12,IF($B$1=Tabelle2!$A$2,(1+Tabelle1!D$2)^(-Tabelle1!$A12),IF($B$1=Tabelle2!$A$3,((1+Tabelle1!D$2)^Tabelle1!$A12-1)/(Tabelle1!D$2*(1+Tabelle1!D$2)^Tabelle1!$A12),IF($B$1=Tabelle2!$A$4,(Tabelle1!D$2*(1+Tabelle1!D$2)^Tabelle1!$A12)/((1+Tabelle1!D$2)^Tabelle1!$A12-1)))))</f>
        <v>0.11723050660515963</v>
      </c>
      <c r="E12" s="8">
        <f>IF($B$1=Tabelle2!$A$1,(1+Tabelle1!E$2)^Tabelle1!$A12,IF($B$1=Tabelle2!$A$2,(1+Tabelle1!E$2)^(-Tabelle1!$A12),IF($B$1=Tabelle2!$A$3,((1+Tabelle1!E$2)^Tabelle1!$A12-1)/(Tabelle1!E$2*(1+Tabelle1!E$2)^Tabelle1!$A12),IF($B$1=Tabelle2!$A$4,(Tabelle1!E$2*(1+Tabelle1!E$2)^Tabelle1!$A12)/((1+Tabelle1!E$2)^Tabelle1!$A12-1)))))</f>
        <v>0.1232909443301364</v>
      </c>
      <c r="F12" s="8">
        <f>IF($B$1=Tabelle2!$A$1,(1+Tabelle1!F$2)^Tabelle1!$A12,IF($B$1=Tabelle2!$A$2,(1+Tabelle1!F$2)^(-Tabelle1!$A12),IF($B$1=Tabelle2!$A$3,((1+Tabelle1!F$2)^Tabelle1!$A12-1)/(Tabelle1!F$2*(1+Tabelle1!F$2)^Tabelle1!$A12),IF($B$1=Tabelle2!$A$4,(Tabelle1!F$2*(1+Tabelle1!F$2)^Tabelle1!$A12)/((1+Tabelle1!F$2)^Tabelle1!$A12-1)))))</f>
        <v>0.1295045749654567</v>
      </c>
      <c r="G12" s="8">
        <f>IF($B$1=Tabelle2!$A$1,(1+Tabelle1!G$2)^Tabelle1!$A12,IF($B$1=Tabelle2!$A$2,(1+Tabelle1!G$2)^(-Tabelle1!$A12),IF($B$1=Tabelle2!$A$3,((1+Tabelle1!G$2)^Tabelle1!$A12-1)/(Tabelle1!G$2*(1+Tabelle1!G$2)^Tabelle1!$A12),IF($B$1=Tabelle2!$A$4,(Tabelle1!G$2*(1+Tabelle1!G$2)^Tabelle1!$A12)/((1+Tabelle1!G$2)^Tabelle1!$A12-1)))))</f>
        <v>0.13586795822038372</v>
      </c>
      <c r="H12" s="8">
        <f>IF($B$1=Tabelle2!$A$1,(1+Tabelle1!H$2)^Tabelle1!$A12,IF($B$1=Tabelle2!$A$2,(1+Tabelle1!H$2)^(-Tabelle1!$A12),IF($B$1=Tabelle2!$A$3,((1+Tabelle1!H$2)^Tabelle1!$A12-1)/(Tabelle1!H$2*(1+Tabelle1!H$2)^Tabelle1!$A12),IF($B$1=Tabelle2!$A$4,(Tabelle1!H$2*(1+Tabelle1!H$2)^Tabelle1!$A12)/((1+Tabelle1!H$2)^Tabelle1!$A12-1)))))</f>
        <v>0.14237750272736471</v>
      </c>
      <c r="I12" s="8">
        <f>IF($B$1=Tabelle2!$A$1,(1+Tabelle1!I$2)^Tabelle1!$A12,IF($B$1=Tabelle2!$A$2,(1+Tabelle1!I$2)^(-Tabelle1!$A12),IF($B$1=Tabelle2!$A$3,((1+Tabelle1!I$2)^Tabelle1!$A12-1)/(Tabelle1!I$2*(1+Tabelle1!I$2)^Tabelle1!$A12),IF($B$1=Tabelle2!$A$4,(Tabelle1!I$2*(1+Tabelle1!I$2)^Tabelle1!$A12)/((1+Tabelle1!I$2)^Tabelle1!$A12-1)))))</f>
        <v>0.14902948869707539</v>
      </c>
      <c r="J12" s="8">
        <f>IF($B$1=Tabelle2!$A$1,(1+Tabelle1!J$2)^Tabelle1!$A12,IF($B$1=Tabelle2!$A$2,(1+Tabelle1!J$2)^(-Tabelle1!$A12),IF($B$1=Tabelle2!$A$3,((1+Tabelle1!J$2)^Tabelle1!$A12-1)/(Tabelle1!J$2*(1+Tabelle1!J$2)^Tabelle1!$A12),IF($B$1=Tabelle2!$A$4,(Tabelle1!J$2*(1+Tabelle1!J$2)^Tabelle1!$A12)/((1+Tabelle1!J$2)^Tabelle1!$A12-1)))))</f>
        <v>0.15582008990903373</v>
      </c>
      <c r="K12" s="8">
        <f>IF($B$1=Tabelle2!$A$1,(1+Tabelle1!K$2)^Tabelle1!$A12,IF($B$1=Tabelle2!$A$2,(1+Tabelle1!K$2)^(-Tabelle1!$A12),IF($B$1=Tabelle2!$A$3,((1+Tabelle1!K$2)^Tabelle1!$A12-1)/(Tabelle1!K$2*(1+Tabelle1!K$2)^Tabelle1!$A12),IF($B$1=Tabelle2!$A$4,(Tabelle1!K$2*(1+Tabelle1!K$2)^Tabelle1!$A12)/((1+Tabelle1!K$2)^Tabelle1!$A12-1)))))</f>
        <v>0.16274539488251155</v>
      </c>
      <c r="L12" s="8">
        <f>IF($B$1=Tabelle2!$A$1,(1+Tabelle1!L$2)^Tabelle1!$A12,IF($B$1=Tabelle2!$A$2,(1+Tabelle1!L$2)^(-Tabelle1!$A12),IF($B$1=Tabelle2!$A$3,((1+Tabelle1!L$2)^Tabelle1!$A12-1)/(Tabelle1!L$2*(1+Tabelle1!L$2)^Tabelle1!$A12),IF($B$1=Tabelle2!$A$4,(Tabelle1!L$2*(1+Tabelle1!L$2)^Tabelle1!$A12)/((1+Tabelle1!L$2)^Tabelle1!$A12-1)))))</f>
        <v>0.16980142709749024</v>
      </c>
      <c r="M12" s="8">
        <f>IF($B$1=Tabelle2!$A$1,(1+Tabelle1!M$2)^Tabelle1!$A12,IF($B$1=Tabelle2!$A$2,(1+Tabelle1!M$2)^(-Tabelle1!$A12),IF($B$1=Tabelle2!$A$3,((1+Tabelle1!M$2)^Tabelle1!$A12-1)/(Tabelle1!M$2*(1+Tabelle1!M$2)^Tabelle1!$A12),IF($B$1=Tabelle2!$A$4,(Tabelle1!M$2*(1+Tabelle1!M$2)^Tabelle1!$A12)/((1+Tabelle1!M$2)^Tabelle1!$A12-1)))))</f>
        <v>0.17698416415984405</v>
      </c>
    </row>
    <row r="13" spans="1:13" x14ac:dyDescent="0.2">
      <c r="A13" s="6">
        <v>15</v>
      </c>
      <c r="B13" s="8">
        <f>IF($B$1=Tabelle2!$A$1,(1+Tabelle1!B$2)^Tabelle1!$A13,IF($B$1=Tabelle2!$A$2,(1+Tabelle1!B$2)^(-Tabelle1!$A13),IF($B$1=Tabelle2!$A$3,((1+Tabelle1!B$2)^Tabelle1!$A13-1)/(Tabelle1!B$2*(1+Tabelle1!B$2)^Tabelle1!$A13),IF($B$1=Tabelle2!$A$4,(Tabelle1!B$2*(1+Tabelle1!B$2)^Tabelle1!$A13)/((1+Tabelle1!B$2)^Tabelle1!$A13-1)))))</f>
        <v>7.2123780184907699E-2</v>
      </c>
      <c r="C13" s="8">
        <f>IF($B$1=Tabelle2!$A$1,(1+Tabelle1!C$2)^Tabelle1!$A13,IF($B$1=Tabelle2!$A$2,(1+Tabelle1!C$2)^(-Tabelle1!$A13),IF($B$1=Tabelle2!$A$3,((1+Tabelle1!C$2)^Tabelle1!$A13-1)/(Tabelle1!C$2*(1+Tabelle1!C$2)^Tabelle1!$A13),IF($B$1=Tabelle2!$A$4,(Tabelle1!C$2*(1+Tabelle1!C$2)^Tabelle1!$A13)/((1+Tabelle1!C$2)^Tabelle1!$A13-1)))))</f>
        <v>7.7825472250244179E-2</v>
      </c>
      <c r="D13" s="8">
        <f>IF($B$1=Tabelle2!$A$1,(1+Tabelle1!D$2)^Tabelle1!$A13,IF($B$1=Tabelle2!$A$2,(1+Tabelle1!D$2)^(-Tabelle1!$A13),IF($B$1=Tabelle2!$A$3,((1+Tabelle1!D$2)^Tabelle1!$A13-1)/(Tabelle1!D$2*(1+Tabelle1!D$2)^Tabelle1!$A13),IF($B$1=Tabelle2!$A$4,(Tabelle1!D$2*(1+Tabelle1!D$2)^Tabelle1!$A13)/((1+Tabelle1!D$2)^Tabelle1!$A13-1)))))</f>
        <v>8.3766580462288048E-2</v>
      </c>
      <c r="E13" s="8">
        <f>IF($B$1=Tabelle2!$A$1,(1+Tabelle1!E$2)^Tabelle1!$A13,IF($B$1=Tabelle2!$A$2,(1+Tabelle1!E$2)^(-Tabelle1!$A13),IF($B$1=Tabelle2!$A$3,((1+Tabelle1!E$2)^Tabelle1!$A13-1)/(Tabelle1!E$2*(1+Tabelle1!E$2)^Tabelle1!$A13),IF($B$1=Tabelle2!$A$4,(Tabelle1!E$2*(1+Tabelle1!E$2)^Tabelle1!$A13)/((1+Tabelle1!E$2)^Tabelle1!$A13-1)))))</f>
        <v>8.9941100370973137E-2</v>
      </c>
      <c r="F13" s="8">
        <f>IF($B$1=Tabelle2!$A$1,(1+Tabelle1!F$2)^Tabelle1!$A13,IF($B$1=Tabelle2!$A$2,(1+Tabelle1!F$2)^(-Tabelle1!$A13),IF($B$1=Tabelle2!$A$3,((1+Tabelle1!F$2)^Tabelle1!$A13-1)/(Tabelle1!F$2*(1+Tabelle1!F$2)^Tabelle1!$A13),IF($B$1=Tabelle2!$A$4,(Tabelle1!F$2*(1+Tabelle1!F$2)^Tabelle1!$A13)/((1+Tabelle1!F$2)^Tabelle1!$A13-1)))))</f>
        <v>9.6342287609244348E-2</v>
      </c>
      <c r="G13" s="8">
        <f>IF($B$1=Tabelle2!$A$1,(1+Tabelle1!G$2)^Tabelle1!$A13,IF($B$1=Tabelle2!$A$2,(1+Tabelle1!G$2)^(-Tabelle1!$A13),IF($B$1=Tabelle2!$A$3,((1+Tabelle1!G$2)^Tabelle1!$A13-1)/(Tabelle1!G$2*(1+Tabelle1!G$2)^Tabelle1!$A13),IF($B$1=Tabelle2!$A$4,(Tabelle1!G$2*(1+Tabelle1!G$2)^Tabelle1!$A13)/((1+Tabelle1!G$2)^Tabelle1!$A13-1)))))</f>
        <v>0.10296276395531262</v>
      </c>
      <c r="H13" s="8">
        <f>IF($B$1=Tabelle2!$A$1,(1+Tabelle1!H$2)^Tabelle1!$A13,IF($B$1=Tabelle2!$A$2,(1+Tabelle1!H$2)^(-Tabelle1!$A13),IF($B$1=Tabelle2!$A$3,((1+Tabelle1!H$2)^Tabelle1!$A13-1)/(Tabelle1!H$2*(1+Tabelle1!H$2)^Tabelle1!$A13),IF($B$1=Tabelle2!$A$4,(Tabelle1!H$2*(1+Tabelle1!H$2)^Tabelle1!$A13)/((1+Tabelle1!H$2)^Tabelle1!$A13-1)))))</f>
        <v>0.10979462470100652</v>
      </c>
      <c r="I13" s="8">
        <f>IF($B$1=Tabelle2!$A$1,(1+Tabelle1!I$2)^Tabelle1!$A13,IF($B$1=Tabelle2!$A$2,(1+Tabelle1!I$2)^(-Tabelle1!$A13),IF($B$1=Tabelle2!$A$3,((1+Tabelle1!I$2)^Tabelle1!$A13-1)/(Tabelle1!I$2*(1+Tabelle1!I$2)^Tabelle1!$A13),IF($B$1=Tabelle2!$A$4,(Tabelle1!I$2*(1+Tabelle1!I$2)^Tabelle1!$A13)/((1+Tabelle1!I$2)^Tabelle1!$A13-1)))))</f>
        <v>0.11682954493601999</v>
      </c>
      <c r="J13" s="8">
        <f>IF($B$1=Tabelle2!$A$1,(1+Tabelle1!J$2)^Tabelle1!$A13,IF($B$1=Tabelle2!$A$2,(1+Tabelle1!J$2)^(-Tabelle1!$A13),IF($B$1=Tabelle2!$A$3,((1+Tabelle1!J$2)^Tabelle1!$A13-1)/(Tabelle1!J$2*(1+Tabelle1!J$2)^Tabelle1!$A13),IF($B$1=Tabelle2!$A$4,(Tabelle1!J$2*(1+Tabelle1!J$2)^Tabelle1!$A13)/((1+Tabelle1!J$2)^Tabelle1!$A13-1)))))</f>
        <v>0.12405888265031004</v>
      </c>
      <c r="K13" s="8">
        <f>IF($B$1=Tabelle2!$A$1,(1+Tabelle1!K$2)^Tabelle1!$A13,IF($B$1=Tabelle2!$A$2,(1+Tabelle1!K$2)^(-Tabelle1!$A13),IF($B$1=Tabelle2!$A$3,((1+Tabelle1!K$2)^Tabelle1!$A13-1)/(Tabelle1!K$2*(1+Tabelle1!K$2)^Tabelle1!$A13),IF($B$1=Tabelle2!$A$4,(Tabelle1!K$2*(1+Tabelle1!K$2)^Tabelle1!$A13)/((1+Tabelle1!K$2)^Tabelle1!$A13-1)))))</f>
        <v>0.13147377688737219</v>
      </c>
      <c r="L13" s="8">
        <f>IF($B$1=Tabelle2!$A$1,(1+Tabelle1!L$2)^Tabelle1!$A13,IF($B$1=Tabelle2!$A$2,(1+Tabelle1!L$2)^(-Tabelle1!$A13),IF($B$1=Tabelle2!$A$3,((1+Tabelle1!L$2)^Tabelle1!$A13-1)/(Tabelle1!L$2*(1+Tabelle1!L$2)^Tabelle1!$A13),IF($B$1=Tabelle2!$A$4,(Tabelle1!L$2*(1+Tabelle1!L$2)^Tabelle1!$A13)/((1+Tabelle1!L$2)^Tabelle1!$A13-1)))))</f>
        <v>0.13906523952966843</v>
      </c>
      <c r="M13" s="8">
        <f>IF($B$1=Tabelle2!$A$1,(1+Tabelle1!M$2)^Tabelle1!$A13,IF($B$1=Tabelle2!$A$2,(1+Tabelle1!M$2)^(-Tabelle1!$A13),IF($B$1=Tabelle2!$A$3,((1+Tabelle1!M$2)^Tabelle1!$A13-1)/(Tabelle1!M$2*(1+Tabelle1!M$2)^Tabelle1!$A13),IF($B$1=Tabelle2!$A$4,(Tabelle1!M$2*(1+Tabelle1!M$2)^Tabelle1!$A13)/((1+Tabelle1!M$2)^Tabelle1!$A13-1)))))</f>
        <v>0.14682423964634631</v>
      </c>
    </row>
    <row r="14" spans="1:13" x14ac:dyDescent="0.2">
      <c r="A14" s="6">
        <v>20</v>
      </c>
      <c r="B14" s="8">
        <f>IF($B$1=Tabelle2!$A$1,(1+Tabelle1!B$2)^Tabelle1!$A14,IF($B$1=Tabelle2!$A$2,(1+Tabelle1!B$2)^(-Tabelle1!$A14),IF($B$1=Tabelle2!$A$3,((1+Tabelle1!B$2)^Tabelle1!$A14-1)/(Tabelle1!B$2*(1+Tabelle1!B$2)^Tabelle1!$A14),IF($B$1=Tabelle2!$A$4,(Tabelle1!B$2*(1+Tabelle1!B$2)^Tabelle1!$A14)/((1+Tabelle1!B$2)^Tabelle1!$A14-1)))))</f>
        <v>5.5415314890551334E-2</v>
      </c>
      <c r="C14" s="8">
        <f>IF($B$1=Tabelle2!$A$1,(1+Tabelle1!C$2)^Tabelle1!$A14,IF($B$1=Tabelle2!$A$2,(1+Tabelle1!C$2)^(-Tabelle1!$A14),IF($B$1=Tabelle2!$A$3,((1+Tabelle1!C$2)^Tabelle1!$A14-1)/(Tabelle1!C$2*(1+Tabelle1!C$2)^Tabelle1!$A14),IF($B$1=Tabelle2!$A$4,(Tabelle1!C$2*(1+Tabelle1!C$2)^Tabelle1!$A14)/((1+Tabelle1!C$2)^Tabelle1!$A14-1)))))</f>
        <v>6.1156718125290395E-2</v>
      </c>
      <c r="D14" s="8">
        <f>IF($B$1=Tabelle2!$A$1,(1+Tabelle1!D$2)^Tabelle1!$A14,IF($B$1=Tabelle2!$A$2,(1+Tabelle1!D$2)^(-Tabelle1!$A14),IF($B$1=Tabelle2!$A$3,((1+Tabelle1!D$2)^Tabelle1!$A14-1)/(Tabelle1!D$2*(1+Tabelle1!D$2)^Tabelle1!$A14),IF($B$1=Tabelle2!$A$4,(Tabelle1!D$2*(1+Tabelle1!D$2)^Tabelle1!$A14)/((1+Tabelle1!D$2)^Tabelle1!$A14-1)))))</f>
        <v>6.7215707596859159E-2</v>
      </c>
      <c r="E14" s="8">
        <f>IF($B$1=Tabelle2!$A$1,(1+Tabelle1!E$2)^Tabelle1!$A14,IF($B$1=Tabelle2!$A$2,(1+Tabelle1!E$2)^(-Tabelle1!$A14),IF($B$1=Tabelle2!$A$3,((1+Tabelle1!E$2)^Tabelle1!$A14-1)/(Tabelle1!E$2*(1+Tabelle1!E$2)^Tabelle1!$A14),IF($B$1=Tabelle2!$A$4,(Tabelle1!E$2*(1+Tabelle1!E$2)^Tabelle1!$A14)/((1+Tabelle1!E$2)^Tabelle1!$A14-1)))))</f>
        <v>7.3581750328628834E-2</v>
      </c>
      <c r="F14" s="8">
        <f>IF($B$1=Tabelle2!$A$1,(1+Tabelle1!F$2)^Tabelle1!$A14,IF($B$1=Tabelle2!$A$2,(1+Tabelle1!F$2)^(-Tabelle1!$A14),IF($B$1=Tabelle2!$A$3,((1+Tabelle1!F$2)^Tabelle1!$A14-1)/(Tabelle1!F$2*(1+Tabelle1!F$2)^Tabelle1!$A14),IF($B$1=Tabelle2!$A$4,(Tabelle1!F$2*(1+Tabelle1!F$2)^Tabelle1!$A14)/((1+Tabelle1!F$2)^Tabelle1!$A14-1)))))</f>
        <v>8.0242587190691314E-2</v>
      </c>
      <c r="G14" s="8">
        <f>IF($B$1=Tabelle2!$A$1,(1+Tabelle1!G$2)^Tabelle1!$A14,IF($B$1=Tabelle2!$A$2,(1+Tabelle1!G$2)^(-Tabelle1!$A14),IF($B$1=Tabelle2!$A$3,((1+Tabelle1!G$2)^Tabelle1!$A14-1)/(Tabelle1!G$2*(1+Tabelle1!G$2)^Tabelle1!$A14),IF($B$1=Tabelle2!$A$4,(Tabelle1!G$2*(1+Tabelle1!G$2)^Tabelle1!$A14)/((1+Tabelle1!G$2)^Tabelle1!$A14-1)))))</f>
        <v>8.7184556976851402E-2</v>
      </c>
      <c r="H14" s="8">
        <f>IF($B$1=Tabelle2!$A$1,(1+Tabelle1!H$2)^Tabelle1!$A14,IF($B$1=Tabelle2!$A$2,(1+Tabelle1!H$2)^(-Tabelle1!$A14),IF($B$1=Tabelle2!$A$3,((1+Tabelle1!H$2)^Tabelle1!$A14-1)/(Tabelle1!H$2*(1+Tabelle1!H$2)^Tabelle1!$A14),IF($B$1=Tabelle2!$A$4,(Tabelle1!H$2*(1+Tabelle1!H$2)^Tabelle1!$A14)/((1+Tabelle1!H$2)^Tabelle1!$A14-1)))))</f>
        <v>9.4392925743255696E-2</v>
      </c>
      <c r="I14" s="8">
        <f>IF($B$1=Tabelle2!$A$1,(1+Tabelle1!I$2)^Tabelle1!$A14,IF($B$1=Tabelle2!$A$2,(1+Tabelle1!I$2)^(-Tabelle1!$A14),IF($B$1=Tabelle2!$A$3,((1+Tabelle1!I$2)^Tabelle1!$A14-1)/(Tabelle1!I$2*(1+Tabelle1!I$2)^Tabelle1!$A14),IF($B$1=Tabelle2!$A$4,(Tabelle1!I$2*(1+Tabelle1!I$2)^Tabelle1!$A14)/((1+Tabelle1!I$2)^Tabelle1!$A14-1)))))</f>
        <v>0.10185220882315059</v>
      </c>
      <c r="J14" s="8">
        <f>IF($B$1=Tabelle2!$A$1,(1+Tabelle1!J$2)^Tabelle1!$A14,IF($B$1=Tabelle2!$A$2,(1+Tabelle1!J$2)^(-Tabelle1!$A14),IF($B$1=Tabelle2!$A$3,((1+Tabelle1!J$2)^Tabelle1!$A14-1)/(Tabelle1!J$2*(1+Tabelle1!J$2)^Tabelle1!$A14),IF($B$1=Tabelle2!$A$4,(Tabelle1!J$2*(1+Tabelle1!J$2)^Tabelle1!$A14)/((1+Tabelle1!J$2)^Tabelle1!$A14-1)))))</f>
        <v>0.10954647500822921</v>
      </c>
      <c r="K14" s="8">
        <f>IF($B$1=Tabelle2!$A$1,(1+Tabelle1!K$2)^Tabelle1!$A14,IF($B$1=Tabelle2!$A$2,(1+Tabelle1!K$2)^(-Tabelle1!$A14),IF($B$1=Tabelle2!$A$3,((1+Tabelle1!K$2)^Tabelle1!$A14-1)/(Tabelle1!K$2*(1+Tabelle1!K$2)^Tabelle1!$A14),IF($B$1=Tabelle2!$A$4,(Tabelle1!K$2*(1+Tabelle1!K$2)^Tabelle1!$A14)/((1+Tabelle1!K$2)^Tabelle1!$A14-1)))))</f>
        <v>0.11745962477254576</v>
      </c>
      <c r="L14" s="8">
        <f>IF($B$1=Tabelle2!$A$1,(1+Tabelle1!L$2)^Tabelle1!$A14,IF($B$1=Tabelle2!$A$2,(1+Tabelle1!L$2)^(-Tabelle1!$A14),IF($B$1=Tabelle2!$A$3,((1+Tabelle1!L$2)^Tabelle1!$A14-1)/(Tabelle1!L$2*(1+Tabelle1!L$2)^Tabelle1!$A14),IF($B$1=Tabelle2!$A$4,(Tabelle1!L$2*(1+Tabelle1!L$2)^Tabelle1!$A14)/((1+Tabelle1!L$2)^Tabelle1!$A14-1)))))</f>
        <v>0.12557563687714221</v>
      </c>
      <c r="M14" s="8">
        <f>IF($B$1=Tabelle2!$A$1,(1+Tabelle1!M$2)^Tabelle1!$A14,IF($B$1=Tabelle2!$A$2,(1+Tabelle1!M$2)^(-Tabelle1!$A14),IF($B$1=Tabelle2!$A$3,((1+Tabelle1!M$2)^Tabelle1!$A14-1)/(Tabelle1!M$2*(1+Tabelle1!M$2)^Tabelle1!$A14),IF($B$1=Tabelle2!$A$4,(Tabelle1!M$2*(1+Tabelle1!M$2)^Tabelle1!$A14)/((1+Tabelle1!M$2)^Tabelle1!$A14-1)))))</f>
        <v>0.13387878003966064</v>
      </c>
    </row>
    <row r="15" spans="1:13" ht="17" thickBot="1" x14ac:dyDescent="0.25">
      <c r="A15" s="7">
        <v>25</v>
      </c>
      <c r="B15" s="8">
        <f>IF($B$1=Tabelle2!$A$1,(1+Tabelle1!B$2)^Tabelle1!$A15,IF($B$1=Tabelle2!$A$2,(1+Tabelle1!B$2)^(-Tabelle1!$A15),IF($B$1=Tabelle2!$A$3,((1+Tabelle1!B$2)^Tabelle1!$A15-1)/(Tabelle1!B$2*(1+Tabelle1!B$2)^Tabelle1!$A15),IF($B$1=Tabelle2!$A$4,(Tabelle1!B$2*(1+Tabelle1!B$2)^Tabelle1!$A15)/((1+Tabelle1!B$2)^Tabelle1!$A15-1)))))</f>
        <v>4.540675340054795E-2</v>
      </c>
      <c r="C15" s="8">
        <f>IF($B$1=Tabelle2!$A$1,(1+Tabelle1!C$2)^Tabelle1!$A15,IF($B$1=Tabelle2!$A$2,(1+Tabelle1!C$2)^(-Tabelle1!$A15),IF($B$1=Tabelle2!$A$3,((1+Tabelle1!C$2)^Tabelle1!$A15-1)/(Tabelle1!C$2*(1+Tabelle1!C$2)^Tabelle1!$A15),IF($B$1=Tabelle2!$A$4,(Tabelle1!C$2*(1+Tabelle1!C$2)^Tabelle1!$A15)/((1+Tabelle1!C$2)^Tabelle1!$A15-1)))))</f>
        <v>5.122043841739473E-2</v>
      </c>
      <c r="D15" s="8">
        <f>IF($B$1=Tabelle2!$A$1,(1+Tabelle1!D$2)^Tabelle1!$A15,IF($B$1=Tabelle2!$A$2,(1+Tabelle1!D$2)^(-Tabelle1!$A15),IF($B$1=Tabelle2!$A$3,((1+Tabelle1!D$2)^Tabelle1!$A15-1)/(Tabelle1!D$2*(1+Tabelle1!D$2)^Tabelle1!$A15),IF($B$1=Tabelle2!$A$4,(Tabelle1!D$2*(1+Tabelle1!D$2)^Tabelle1!$A15)/((1+Tabelle1!D$2)^Tabelle1!$A15-1)))))</f>
        <v>5.7427871039127817E-2</v>
      </c>
      <c r="E15" s="8">
        <f>IF($B$1=Tabelle2!$A$1,(1+Tabelle1!E$2)^Tabelle1!$A15,IF($B$1=Tabelle2!$A$2,(1+Tabelle1!E$2)^(-Tabelle1!$A15),IF($B$1=Tabelle2!$A$3,((1+Tabelle1!E$2)^Tabelle1!$A15-1)/(Tabelle1!E$2*(1+Tabelle1!E$2)^Tabelle1!$A15),IF($B$1=Tabelle2!$A$4,(Tabelle1!E$2*(1+Tabelle1!E$2)^Tabelle1!$A15)/((1+Tabelle1!E$2)^Tabelle1!$A15-1)))))</f>
        <v>6.4011962786454574E-2</v>
      </c>
      <c r="F15" s="8">
        <f>IF($B$1=Tabelle2!$A$1,(1+Tabelle1!F$2)^Tabelle1!$A15,IF($B$1=Tabelle2!$A$2,(1+Tabelle1!F$2)^(-Tabelle1!$A15),IF($B$1=Tabelle2!$A$3,((1+Tabelle1!F$2)^Tabelle1!$A15-1)/(Tabelle1!F$2*(1+Tabelle1!F$2)^Tabelle1!$A15),IF($B$1=Tabelle2!$A$4,(Tabelle1!F$2*(1+Tabelle1!F$2)^Tabelle1!$A15)/((1+Tabelle1!F$2)^Tabelle1!$A15-1)))))</f>
        <v>7.0952457299229624E-2</v>
      </c>
      <c r="G15" s="8">
        <f>IF($B$1=Tabelle2!$A$1,(1+Tabelle1!G$2)^Tabelle1!$A15,IF($B$1=Tabelle2!$A$2,(1+Tabelle1!G$2)^(-Tabelle1!$A15),IF($B$1=Tabelle2!$A$3,((1+Tabelle1!G$2)^Tabelle1!$A15-1)/(Tabelle1!G$2*(1+Tabelle1!G$2)^Tabelle1!$A15),IF($B$1=Tabelle2!$A$4,(Tabelle1!G$2*(1+Tabelle1!G$2)^Tabelle1!$A15)/((1+Tabelle1!G$2)^Tabelle1!$A15-1)))))</f>
        <v>7.8226718212273949E-2</v>
      </c>
      <c r="H15" s="8">
        <f>IF($B$1=Tabelle2!$A$1,(1+Tabelle1!H$2)^Tabelle1!$A15,IF($B$1=Tabelle2!$A$2,(1+Tabelle1!H$2)^(-Tabelle1!$A15),IF($B$1=Tabelle2!$A$3,((1+Tabelle1!H$2)^Tabelle1!$A15-1)/(Tabelle1!H$2*(1+Tabelle1!H$2)^Tabelle1!$A15),IF($B$1=Tabelle2!$A$4,(Tabelle1!H$2*(1+Tabelle1!H$2)^Tabelle1!$A15)/((1+Tabelle1!H$2)^Tabelle1!$A15-1)))))</f>
        <v>8.5810517220665614E-2</v>
      </c>
      <c r="I15" s="8">
        <f>IF($B$1=Tabelle2!$A$1,(1+Tabelle1!I$2)^Tabelle1!$A15,IF($B$1=Tabelle2!$A$2,(1+Tabelle1!I$2)^(-Tabelle1!$A15),IF($B$1=Tabelle2!$A$3,((1+Tabelle1!I$2)^Tabelle1!$A15-1)/(Tabelle1!I$2*(1+Tabelle1!I$2)^Tabelle1!$A15),IF($B$1=Tabelle2!$A$4,(Tabelle1!I$2*(1+Tabelle1!I$2)^Tabelle1!$A15)/((1+Tabelle1!I$2)^Tabelle1!$A15-1)))))</f>
        <v>9.3678779051968114E-2</v>
      </c>
      <c r="J15" s="8">
        <f>IF($B$1=Tabelle2!$A$1,(1+Tabelle1!J$2)^Tabelle1!$A15,IF($B$1=Tabelle2!$A$2,(1+Tabelle1!J$2)^(-Tabelle1!$A15),IF($B$1=Tabelle2!$A$3,((1+Tabelle1!J$2)^Tabelle1!$A15-1)/(Tabelle1!J$2*(1+Tabelle1!J$2)^Tabelle1!$A15),IF($B$1=Tabelle2!$A$4,(Tabelle1!J$2*(1+Tabelle1!J$2)^Tabelle1!$A15)/((1+Tabelle1!J$2)^Tabelle1!$A15-1)))))</f>
        <v>0.10180625051857181</v>
      </c>
      <c r="K15" s="8">
        <f>IF($B$1=Tabelle2!$A$1,(1+Tabelle1!K$2)^Tabelle1!$A15,IF($B$1=Tabelle2!$A$2,(1+Tabelle1!K$2)^(-Tabelle1!$A15),IF($B$1=Tabelle2!$A$3,((1+Tabelle1!K$2)^Tabelle1!$A15-1)/(Tabelle1!K$2*(1+Tabelle1!K$2)^Tabelle1!$A15),IF($B$1=Tabelle2!$A$4,(Tabelle1!K$2*(1+Tabelle1!K$2)^Tabelle1!$A15)/((1+Tabelle1!K$2)^Tabelle1!$A15-1)))))</f>
        <v>0.11016807219002084</v>
      </c>
      <c r="L15" s="8">
        <f>IF($B$1=Tabelle2!$A$1,(1+Tabelle1!L$2)^Tabelle1!$A15,IF($B$1=Tabelle2!$A$2,(1+Tabelle1!L$2)^(-Tabelle1!$A15),IF($B$1=Tabelle2!$A$3,((1+Tabelle1!L$2)^Tabelle1!$A15-1)/(Tabelle1!L$2*(1+Tabelle1!L$2)^Tabelle1!$A15),IF($B$1=Tabelle2!$A$4,(Tabelle1!L$2*(1+Tabelle1!L$2)^Tabelle1!$A15)/((1+Tabelle1!L$2)^Tabelle1!$A15-1)))))</f>
        <v>0.11874024205405564</v>
      </c>
      <c r="M15" s="8">
        <f>IF($B$1=Tabelle2!$A$1,(1+Tabelle1!M$2)^Tabelle1!$A15,IF($B$1=Tabelle2!$A$2,(1+Tabelle1!M$2)^(-Tabelle1!$A15),IF($B$1=Tabelle2!$A$3,((1+Tabelle1!M$2)^Tabelle1!$A15-1)/(Tabelle1!M$2*(1+Tabelle1!M$2)^Tabelle1!$A15),IF($B$1=Tabelle2!$A$4,(Tabelle1!M$2*(1+Tabelle1!M$2)^Tabelle1!$A15)/((1+Tabelle1!M$2)^Tabelle1!$A15-1)))))</f>
        <v>0.12749996980950773</v>
      </c>
    </row>
    <row r="17" spans="1:13" x14ac:dyDescent="0.2">
      <c r="A17" s="11" t="str">
        <f>VLOOKUP($B$1,Tabelle2!$A$1:$B$4,2,FALSE)</f>
        <v>Wie hoch ist die jährliche Rente, die n Jahre lang (nachschüssig) aus einem Gegenwarts- oder Barwert von 1 GE gezahlt werden kann?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9" spans="1:13" x14ac:dyDescent="0.2">
      <c r="B19" s="15"/>
    </row>
  </sheetData>
  <mergeCells count="2">
    <mergeCell ref="B1:M1"/>
    <mergeCell ref="A17:M17"/>
  </mergeCells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DC040-B396-984E-926E-3A839865A6B9}">
          <x14:formula1>
            <xm:f>Tabelle2!$A$1:$A$4</xm:f>
          </x14:formula1>
          <xm:sqref>B1:M1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A5D3-B256-C24A-AC7A-6C9E7C34A3AC}">
  <dimension ref="A1:B4"/>
  <sheetViews>
    <sheetView workbookViewId="0">
      <selection activeCell="B5" sqref="B5"/>
    </sheetView>
  </sheetViews>
  <sheetFormatPr baseColWidth="10" defaultRowHeight="16" x14ac:dyDescent="0.2"/>
  <cols>
    <col min="1" max="1" width="18.1640625" bestFit="1" customWidth="1"/>
  </cols>
  <sheetData>
    <row r="1" spans="1:2" x14ac:dyDescent="0.2">
      <c r="A1" t="s">
        <v>0</v>
      </c>
      <c r="B1" t="s">
        <v>5</v>
      </c>
    </row>
    <row r="2" spans="1:2" x14ac:dyDescent="0.2">
      <c r="A2" t="s">
        <v>1</v>
      </c>
      <c r="B2" t="s">
        <v>6</v>
      </c>
    </row>
    <row r="3" spans="1:2" x14ac:dyDescent="0.2">
      <c r="A3" t="s">
        <v>2</v>
      </c>
      <c r="B3" t="s">
        <v>7</v>
      </c>
    </row>
    <row r="4" spans="1:2" x14ac:dyDescent="0.2">
      <c r="A4" t="s">
        <v>3</v>
      </c>
      <c r="B4" t="s">
        <v>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Böcker</dc:creator>
  <cp:lastModifiedBy>Stefan Böcker</cp:lastModifiedBy>
  <dcterms:created xsi:type="dcterms:W3CDTF">2026-10-22T19:04:13Z</dcterms:created>
  <dcterms:modified xsi:type="dcterms:W3CDTF">2026-10-22T21:09:48Z</dcterms:modified>
</cp:coreProperties>
</file>