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/Github/wirtschaftsmathematik/Beispiele/"/>
    </mc:Choice>
  </mc:AlternateContent>
  <xr:revisionPtr revIDLastSave="0" documentId="13_ncr:1_{FC69EEBA-8DA3-2A46-AD2A-C53A183E8A8A}" xr6:coauthVersionLast="47" xr6:coauthVersionMax="47" xr10:uidLastSave="{00000000-0000-0000-0000-000000000000}"/>
  <bookViews>
    <workbookView xWindow="0" yWindow="660" windowWidth="34560" windowHeight="20620" xr2:uid="{1E627648-D751-2F4E-98FD-25D645E85C86}"/>
  </bookViews>
  <sheets>
    <sheet name="Tabelle1" sheetId="1" r:id="rId1"/>
    <sheet name="Tabelle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7" i="1" l="1"/>
  <c r="C3" i="1"/>
  <c r="D3" i="1"/>
  <c r="E3" i="1"/>
  <c r="F3" i="1"/>
  <c r="G3" i="1"/>
  <c r="H3" i="1"/>
  <c r="I3" i="1"/>
  <c r="J3" i="1"/>
  <c r="K3" i="1"/>
  <c r="L3" i="1"/>
  <c r="M3" i="1"/>
  <c r="C4" i="1"/>
  <c r="D4" i="1"/>
  <c r="E4" i="1"/>
  <c r="F4" i="1"/>
  <c r="G4" i="1"/>
  <c r="H4" i="1"/>
  <c r="I4" i="1"/>
  <c r="J4" i="1"/>
  <c r="K4" i="1"/>
  <c r="L4" i="1"/>
  <c r="M4" i="1"/>
  <c r="C5" i="1"/>
  <c r="D5" i="1"/>
  <c r="E5" i="1"/>
  <c r="F5" i="1"/>
  <c r="G5" i="1"/>
  <c r="H5" i="1"/>
  <c r="I5" i="1"/>
  <c r="J5" i="1"/>
  <c r="K5" i="1"/>
  <c r="L5" i="1"/>
  <c r="M5" i="1"/>
  <c r="C6" i="1"/>
  <c r="D6" i="1"/>
  <c r="E6" i="1"/>
  <c r="F6" i="1"/>
  <c r="G6" i="1"/>
  <c r="H6" i="1"/>
  <c r="I6" i="1"/>
  <c r="J6" i="1"/>
  <c r="K6" i="1"/>
  <c r="L6" i="1"/>
  <c r="M6" i="1"/>
  <c r="C7" i="1"/>
  <c r="D7" i="1"/>
  <c r="E7" i="1"/>
  <c r="F7" i="1"/>
  <c r="G7" i="1"/>
  <c r="H7" i="1"/>
  <c r="I7" i="1"/>
  <c r="J7" i="1"/>
  <c r="K7" i="1"/>
  <c r="L7" i="1"/>
  <c r="M7" i="1"/>
  <c r="C8" i="1"/>
  <c r="D8" i="1"/>
  <c r="E8" i="1"/>
  <c r="F8" i="1"/>
  <c r="G8" i="1"/>
  <c r="H8" i="1"/>
  <c r="I8" i="1"/>
  <c r="J8" i="1"/>
  <c r="K8" i="1"/>
  <c r="L8" i="1"/>
  <c r="M8" i="1"/>
  <c r="C9" i="1"/>
  <c r="D9" i="1"/>
  <c r="E9" i="1"/>
  <c r="F9" i="1"/>
  <c r="G9" i="1"/>
  <c r="H9" i="1"/>
  <c r="I9" i="1"/>
  <c r="J9" i="1"/>
  <c r="K9" i="1"/>
  <c r="L9" i="1"/>
  <c r="M9" i="1"/>
  <c r="C10" i="1"/>
  <c r="D10" i="1"/>
  <c r="E10" i="1"/>
  <c r="F10" i="1"/>
  <c r="G10" i="1"/>
  <c r="H10" i="1"/>
  <c r="I10" i="1"/>
  <c r="J10" i="1"/>
  <c r="K10" i="1"/>
  <c r="L10" i="1"/>
  <c r="M10" i="1"/>
  <c r="C11" i="1"/>
  <c r="D11" i="1"/>
  <c r="E11" i="1"/>
  <c r="F11" i="1"/>
  <c r="G11" i="1"/>
  <c r="H11" i="1"/>
  <c r="I11" i="1"/>
  <c r="J11" i="1"/>
  <c r="K11" i="1"/>
  <c r="L11" i="1"/>
  <c r="M11" i="1"/>
  <c r="C12" i="1"/>
  <c r="D12" i="1"/>
  <c r="E12" i="1"/>
  <c r="F12" i="1"/>
  <c r="G12" i="1"/>
  <c r="H12" i="1"/>
  <c r="I12" i="1"/>
  <c r="J12" i="1"/>
  <c r="K12" i="1"/>
  <c r="L12" i="1"/>
  <c r="M12" i="1"/>
  <c r="C13" i="1"/>
  <c r="D13" i="1"/>
  <c r="E13" i="1"/>
  <c r="F13" i="1"/>
  <c r="G13" i="1"/>
  <c r="H13" i="1"/>
  <c r="I13" i="1"/>
  <c r="J13" i="1"/>
  <c r="K13" i="1"/>
  <c r="L13" i="1"/>
  <c r="M13" i="1"/>
  <c r="C14" i="1"/>
  <c r="D14" i="1"/>
  <c r="E14" i="1"/>
  <c r="F14" i="1"/>
  <c r="G14" i="1"/>
  <c r="H14" i="1"/>
  <c r="I14" i="1"/>
  <c r="J14" i="1"/>
  <c r="K14" i="1"/>
  <c r="L14" i="1"/>
  <c r="M14" i="1"/>
  <c r="C15" i="1"/>
  <c r="D15" i="1"/>
  <c r="E15" i="1"/>
  <c r="F15" i="1"/>
  <c r="G15" i="1"/>
  <c r="H15" i="1"/>
  <c r="I15" i="1"/>
  <c r="J15" i="1"/>
  <c r="K15" i="1"/>
  <c r="L15" i="1"/>
  <c r="M15" i="1"/>
  <c r="B4" i="1"/>
  <c r="B5" i="1"/>
  <c r="B6" i="1"/>
  <c r="B7" i="1"/>
  <c r="B8" i="1"/>
  <c r="B9" i="1"/>
  <c r="B10" i="1"/>
  <c r="B11" i="1"/>
  <c r="B12" i="1"/>
  <c r="B13" i="1"/>
  <c r="B14" i="1"/>
  <c r="B15" i="1"/>
  <c r="B3" i="1"/>
</calcChain>
</file>

<file path=xl/sharedStrings.xml><?xml version="1.0" encoding="utf-8"?>
<sst xmlns="http://schemas.openxmlformats.org/spreadsheetml/2006/main" count="10" uniqueCount="9">
  <si>
    <t>Aufzinsungsfaktor</t>
  </si>
  <si>
    <t>Abzinsungfaktor</t>
  </si>
  <si>
    <t>Rentenbarwertfaktor</t>
  </si>
  <si>
    <t>Annuitätenfaktor</t>
  </si>
  <si>
    <t>Jahre</t>
  </si>
  <si>
    <t>Welchen Endwert hat eine gegenwärtige Zahlung von 1 GE  zum zukünftigen Zeitpunkt nach n Jahren?</t>
  </si>
  <si>
    <t>Welchen Gegenwarts- oder Barwert hat eine künftig (nach n Jahren) erwartete Zahlung von 1 GE?</t>
  </si>
  <si>
    <t>Welchen Gegenwarts- oder Barwert hat eine n Jahre lang (nachschüssig) gezahlte gleichbleibende jährliche Rente von 1 GE?</t>
  </si>
  <si>
    <t>Wie hoch ist die jährliche Rente, die n Jahre lang (nachschüssig) aus einem Gegenwarts- oder Barwert von 1 GE gezahlt werden kann?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</si>
</sst>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2" borderId="6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9" fontId="2" fillId="3" borderId="9" xfId="0" applyNumberFormat="1" applyFont="1" applyFill="1" applyBorder="1" applyAlignment="1">
      <alignment horizontal="center"/>
    </xf>
    <xf numFmtId="9" fontId="2" fillId="3" borderId="10" xfId="0" applyNumberFormat="1" applyFont="1" applyFill="1" applyBorder="1" applyAlignment="1">
      <alignment horizontal="center"/>
    </xf>
    <xf numFmtId="9" fontId="2" fillId="3" borderId="11" xfId="0" applyNumberFormat="1" applyFont="1" applyFill="1" applyBorder="1" applyAlignment="1">
      <alignment horizontal="center"/>
    </xf>
    <xf numFmtId="164" fontId="0" fillId="0" borderId="5" xfId="1" applyNumberFormat="1" applyFont="1" applyBorder="1"/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2AD33-D6FE-B04D-BE81-942B50447162}">
  <dimension ref="A1:M17"/>
  <sheetViews>
    <sheetView tabSelected="1" zoomScale="190" zoomScaleNormal="190" workbookViewId="0">
      <selection activeCell="B1" sqref="B1:M1"/>
    </sheetView>
  </sheetViews>
  <sheetFormatPr baseColWidth="10" defaultRowHeight="16" x14ac:dyDescent="0.2"/>
  <cols>
    <col min="1" max="1" width="10.83203125" style="1"/>
  </cols>
  <sheetData>
    <row r="1" spans="1:13" ht="17" thickBot="1" x14ac:dyDescent="0.25">
      <c r="A1" s="3"/>
      <c r="B1" s="12" t="s">
        <v>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</row>
    <row r="2" spans="1:13" s="2" customFormat="1" ht="17" thickBot="1" x14ac:dyDescent="0.25">
      <c r="A2" s="4" t="s">
        <v>4</v>
      </c>
      <c r="B2" s="8">
        <v>0.01</v>
      </c>
      <c r="C2" s="9">
        <v>0.02</v>
      </c>
      <c r="D2" s="9">
        <v>0.03</v>
      </c>
      <c r="E2" s="9">
        <v>0.04</v>
      </c>
      <c r="F2" s="9">
        <v>0.05</v>
      </c>
      <c r="G2" s="9">
        <v>0.06</v>
      </c>
      <c r="H2" s="9">
        <v>7.0000000000000007E-2</v>
      </c>
      <c r="I2" s="9">
        <v>0.08</v>
      </c>
      <c r="J2" s="9">
        <v>0.09</v>
      </c>
      <c r="K2" s="9">
        <v>0.1</v>
      </c>
      <c r="L2" s="9">
        <v>0.11</v>
      </c>
      <c r="M2" s="10">
        <v>0.12</v>
      </c>
    </row>
    <row r="3" spans="1:13" x14ac:dyDescent="0.2">
      <c r="A3" s="5">
        <v>1</v>
      </c>
      <c r="B3" s="11">
        <f>IF($B$1=Tabelle2!$A$1,(1+Tabelle1!B$2)^Tabelle1!$A3,IF($B$1=Tabelle2!$A$2,(1+Tabelle1!B$2)^(-Tabelle1!$A3),IF($B$1=Tabelle2!$A$3,((1+Tabelle1!B$2)^Tabelle1!$A3-1)/(Tabelle1!B$2*(1+Tabelle1!B$2)^Tabelle1!$A3),IF($B$1=Tabelle2!$A$4,(Tabelle1!B$2*(1+Tabelle1!B$2)^Tabelle1!$A3)/((1+Tabelle1!B$2)^Tabelle1!$A3-1)))))</f>
        <v>0.99009900990099098</v>
      </c>
      <c r="C3" s="11">
        <f>IF($B$1=Tabelle2!$A$1,(1+Tabelle1!C$2)^Tabelle1!$A3,IF($B$1=Tabelle2!$A$2,(1+Tabelle1!C$2)^(-Tabelle1!$A3),IF($B$1=Tabelle2!$A$3,((1+Tabelle1!C$2)^Tabelle1!$A3-1)/(Tabelle1!C$2*(1+Tabelle1!C$2)^Tabelle1!$A3),IF($B$1=Tabelle2!$A$4,(Tabelle1!C$2*(1+Tabelle1!C$2)^Tabelle1!$A3)/((1+Tabelle1!C$2)^Tabelle1!$A3-1)))))</f>
        <v>0.98039215686274594</v>
      </c>
      <c r="D3" s="11">
        <f>IF($B$1=Tabelle2!$A$1,(1+Tabelle1!D$2)^Tabelle1!$A3,IF($B$1=Tabelle2!$A$2,(1+Tabelle1!D$2)^(-Tabelle1!$A3),IF($B$1=Tabelle2!$A$3,((1+Tabelle1!D$2)^Tabelle1!$A3-1)/(Tabelle1!D$2*(1+Tabelle1!D$2)^Tabelle1!$A3),IF($B$1=Tabelle2!$A$4,(Tabelle1!D$2*(1+Tabelle1!D$2)^Tabelle1!$A3)/((1+Tabelle1!D$2)^Tabelle1!$A3-1)))))</f>
        <v>0.97087378640776789</v>
      </c>
      <c r="E3" s="11">
        <f>IF($B$1=Tabelle2!$A$1,(1+Tabelle1!E$2)^Tabelle1!$A3,IF($B$1=Tabelle2!$A$2,(1+Tabelle1!E$2)^(-Tabelle1!$A3),IF($B$1=Tabelle2!$A$3,((1+Tabelle1!E$2)^Tabelle1!$A3-1)/(Tabelle1!E$2*(1+Tabelle1!E$2)^Tabelle1!$A3),IF($B$1=Tabelle2!$A$4,(Tabelle1!E$2*(1+Tabelle1!E$2)^Tabelle1!$A3)/((1+Tabelle1!E$2)^Tabelle1!$A3-1)))))</f>
        <v>0.96153846153846223</v>
      </c>
      <c r="F3" s="11">
        <f>IF($B$1=Tabelle2!$A$1,(1+Tabelle1!F$2)^Tabelle1!$A3,IF($B$1=Tabelle2!$A$2,(1+Tabelle1!F$2)^(-Tabelle1!$A3),IF($B$1=Tabelle2!$A$3,((1+Tabelle1!F$2)^Tabelle1!$A3-1)/(Tabelle1!F$2*(1+Tabelle1!F$2)^Tabelle1!$A3),IF($B$1=Tabelle2!$A$4,(Tabelle1!F$2*(1+Tabelle1!F$2)^Tabelle1!$A3)/((1+Tabelle1!F$2)^Tabelle1!$A3-1)))))</f>
        <v>0.95238095238095311</v>
      </c>
      <c r="G3" s="11">
        <f>IF($B$1=Tabelle2!$A$1,(1+Tabelle1!G$2)^Tabelle1!$A3,IF($B$1=Tabelle2!$A$2,(1+Tabelle1!G$2)^(-Tabelle1!$A3),IF($B$1=Tabelle2!$A$3,((1+Tabelle1!G$2)^Tabelle1!$A3-1)/(Tabelle1!G$2*(1+Tabelle1!G$2)^Tabelle1!$A3),IF($B$1=Tabelle2!$A$4,(Tabelle1!G$2*(1+Tabelle1!G$2)^Tabelle1!$A3)/((1+Tabelle1!G$2)^Tabelle1!$A3-1)))))</f>
        <v>0.94339622641509513</v>
      </c>
      <c r="H3" s="11">
        <f>IF($B$1=Tabelle2!$A$1,(1+Tabelle1!H$2)^Tabelle1!$A3,IF($B$1=Tabelle2!$A$2,(1+Tabelle1!H$2)^(-Tabelle1!$A3),IF($B$1=Tabelle2!$A$3,((1+Tabelle1!H$2)^Tabelle1!$A3-1)/(Tabelle1!H$2*(1+Tabelle1!H$2)^Tabelle1!$A3),IF($B$1=Tabelle2!$A$4,(Tabelle1!H$2*(1+Tabelle1!H$2)^Tabelle1!$A3)/((1+Tabelle1!H$2)^Tabelle1!$A3-1)))))</f>
        <v>0.93457943925233722</v>
      </c>
      <c r="I3" s="11">
        <f>IF($B$1=Tabelle2!$A$1,(1+Tabelle1!I$2)^Tabelle1!$A3,IF($B$1=Tabelle2!$A$2,(1+Tabelle1!I$2)^(-Tabelle1!$A3),IF($B$1=Tabelle2!$A$3,((1+Tabelle1!I$2)^Tabelle1!$A3-1)/(Tabelle1!I$2*(1+Tabelle1!I$2)^Tabelle1!$A3),IF($B$1=Tabelle2!$A$4,(Tabelle1!I$2*(1+Tabelle1!I$2)^Tabelle1!$A3)/((1+Tabelle1!I$2)^Tabelle1!$A3-1)))))</f>
        <v>0.92592592592592671</v>
      </c>
      <c r="J3" s="11">
        <f>IF($B$1=Tabelle2!$A$1,(1+Tabelle1!J$2)^Tabelle1!$A3,IF($B$1=Tabelle2!$A$2,(1+Tabelle1!J$2)^(-Tabelle1!$A3),IF($B$1=Tabelle2!$A$3,((1+Tabelle1!J$2)^Tabelle1!$A3-1)/(Tabelle1!J$2*(1+Tabelle1!J$2)^Tabelle1!$A3),IF($B$1=Tabelle2!$A$4,(Tabelle1!J$2*(1+Tabelle1!J$2)^Tabelle1!$A3)/((1+Tabelle1!J$2)^Tabelle1!$A3-1)))))</f>
        <v>0.91743119266055118</v>
      </c>
      <c r="K3" s="11">
        <f>IF($B$1=Tabelle2!$A$1,(1+Tabelle1!K$2)^Tabelle1!$A3,IF($B$1=Tabelle2!$A$2,(1+Tabelle1!K$2)^(-Tabelle1!$A3),IF($B$1=Tabelle2!$A$3,((1+Tabelle1!K$2)^Tabelle1!$A3-1)/(Tabelle1!K$2*(1+Tabelle1!K$2)^Tabelle1!$A3),IF($B$1=Tabelle2!$A$4,(Tabelle1!K$2*(1+Tabelle1!K$2)^Tabelle1!$A3)/((1+Tabelle1!K$2)^Tabelle1!$A3-1)))))</f>
        <v>0.90909090909090973</v>
      </c>
      <c r="L3" s="11">
        <f>IF($B$1=Tabelle2!$A$1,(1+Tabelle1!L$2)^Tabelle1!$A3,IF($B$1=Tabelle2!$A$2,(1+Tabelle1!L$2)^(-Tabelle1!$A3),IF($B$1=Tabelle2!$A$3,((1+Tabelle1!L$2)^Tabelle1!$A3-1)/(Tabelle1!L$2*(1+Tabelle1!L$2)^Tabelle1!$A3),IF($B$1=Tabelle2!$A$4,(Tabelle1!L$2*(1+Tabelle1!L$2)^Tabelle1!$A3)/((1+Tabelle1!L$2)^Tabelle1!$A3-1)))))</f>
        <v>0.90090090090090158</v>
      </c>
      <c r="M3" s="11">
        <f>IF($B$1=Tabelle2!$A$1,(1+Tabelle1!M$2)^Tabelle1!$A3,IF($B$1=Tabelle2!$A$2,(1+Tabelle1!M$2)^(-Tabelle1!$A3),IF($B$1=Tabelle2!$A$3,((1+Tabelle1!M$2)^Tabelle1!$A3-1)/(Tabelle1!M$2*(1+Tabelle1!M$2)^Tabelle1!$A3),IF($B$1=Tabelle2!$A$4,(Tabelle1!M$2*(1+Tabelle1!M$2)^Tabelle1!$A3)/((1+Tabelle1!M$2)^Tabelle1!$A3-1)))))</f>
        <v>0.89285714285714357</v>
      </c>
    </row>
    <row r="4" spans="1:13" x14ac:dyDescent="0.2">
      <c r="A4" s="6">
        <v>2</v>
      </c>
      <c r="B4" s="11">
        <f>IF($B$1=Tabelle2!$A$1,(1+Tabelle1!B$2)^Tabelle1!$A4,IF($B$1=Tabelle2!$A$2,(1+Tabelle1!B$2)^(-Tabelle1!$A4),IF($B$1=Tabelle2!$A$3,((1+Tabelle1!B$2)^Tabelle1!$A4-1)/(Tabelle1!B$2*(1+Tabelle1!B$2)^Tabelle1!$A4),IF($B$1=Tabelle2!$A$4,(Tabelle1!B$2*(1+Tabelle1!B$2)^Tabelle1!$A4)/((1+Tabelle1!B$2)^Tabelle1!$A4-1)))))</f>
        <v>1.9703950593079116</v>
      </c>
      <c r="C4" s="11">
        <f>IF($B$1=Tabelle2!$A$1,(1+Tabelle1!C$2)^Tabelle1!$A4,IF($B$1=Tabelle2!$A$2,(1+Tabelle1!C$2)^(-Tabelle1!$A4),IF($B$1=Tabelle2!$A$3,((1+Tabelle1!C$2)^Tabelle1!$A4-1)/(Tabelle1!C$2*(1+Tabelle1!C$2)^Tabelle1!$A4),IF($B$1=Tabelle2!$A$4,(Tabelle1!C$2*(1+Tabelle1!C$2)^Tabelle1!$A4)/((1+Tabelle1!C$2)^Tabelle1!$A4-1)))))</f>
        <v>1.9415609381007302</v>
      </c>
      <c r="D4" s="11">
        <f>IF($B$1=Tabelle2!$A$1,(1+Tabelle1!D$2)^Tabelle1!$A4,IF($B$1=Tabelle2!$A$2,(1+Tabelle1!D$2)^(-Tabelle1!$A4),IF($B$1=Tabelle2!$A$3,((1+Tabelle1!D$2)^Tabelle1!$A4-1)/(Tabelle1!D$2*(1+Tabelle1!D$2)^Tabelle1!$A4),IF($B$1=Tabelle2!$A$4,(Tabelle1!D$2*(1+Tabelle1!D$2)^Tabelle1!$A4)/((1+Tabelle1!D$2)^Tabelle1!$A4-1)))))</f>
        <v>1.9134696955415202</v>
      </c>
      <c r="E4" s="11">
        <f>IF($B$1=Tabelle2!$A$1,(1+Tabelle1!E$2)^Tabelle1!$A4,IF($B$1=Tabelle2!$A$2,(1+Tabelle1!E$2)^(-Tabelle1!$A4),IF($B$1=Tabelle2!$A$3,((1+Tabelle1!E$2)^Tabelle1!$A4-1)/(Tabelle1!E$2*(1+Tabelle1!E$2)^Tabelle1!$A4),IF($B$1=Tabelle2!$A$4,(Tabelle1!E$2*(1+Tabelle1!E$2)^Tabelle1!$A4)/((1+Tabelle1!E$2)^Tabelle1!$A4-1)))))</f>
        <v>1.8860946745562155</v>
      </c>
      <c r="F4" s="11">
        <f>IF($B$1=Tabelle2!$A$1,(1+Tabelle1!F$2)^Tabelle1!$A4,IF($B$1=Tabelle2!$A$2,(1+Tabelle1!F$2)^(-Tabelle1!$A4),IF($B$1=Tabelle2!$A$3,((1+Tabelle1!F$2)^Tabelle1!$A4-1)/(Tabelle1!F$2*(1+Tabelle1!F$2)^Tabelle1!$A4),IF($B$1=Tabelle2!$A$4,(Tabelle1!F$2*(1+Tabelle1!F$2)^Tabelle1!$A4)/((1+Tabelle1!F$2)^Tabelle1!$A4-1)))))</f>
        <v>1.8594104308390027</v>
      </c>
      <c r="G4" s="11">
        <f>IF($B$1=Tabelle2!$A$1,(1+Tabelle1!G$2)^Tabelle1!$A4,IF($B$1=Tabelle2!$A$2,(1+Tabelle1!G$2)^(-Tabelle1!$A4),IF($B$1=Tabelle2!$A$3,((1+Tabelle1!G$2)^Tabelle1!$A4-1)/(Tabelle1!G$2*(1+Tabelle1!G$2)^Tabelle1!$A4),IF($B$1=Tabelle2!$A$4,(Tabelle1!G$2*(1+Tabelle1!G$2)^Tabelle1!$A4)/((1+Tabelle1!G$2)^Tabelle1!$A4-1)))))</f>
        <v>1.8333926664293365</v>
      </c>
      <c r="H4" s="11">
        <f>IF($B$1=Tabelle2!$A$1,(1+Tabelle1!H$2)^Tabelle1!$A4,IF($B$1=Tabelle2!$A$2,(1+Tabelle1!H$2)^(-Tabelle1!$A4),IF($B$1=Tabelle2!$A$3,((1+Tabelle1!H$2)^Tabelle1!$A4-1)/(Tabelle1!H$2*(1+Tabelle1!H$2)^Tabelle1!$A4),IF($B$1=Tabelle2!$A$4,(Tabelle1!H$2*(1+Tabelle1!H$2)^Tabelle1!$A4)/((1+Tabelle1!H$2)^Tabelle1!$A4-1)))))</f>
        <v>1.8080181675255482</v>
      </c>
      <c r="I4" s="11">
        <f>IF($B$1=Tabelle2!$A$1,(1+Tabelle1!I$2)^Tabelle1!$A4,IF($B$1=Tabelle2!$A$2,(1+Tabelle1!I$2)^(-Tabelle1!$A4),IF($B$1=Tabelle2!$A$3,((1+Tabelle1!I$2)^Tabelle1!$A4-1)/(Tabelle1!I$2*(1+Tabelle1!I$2)^Tabelle1!$A4),IF($B$1=Tabelle2!$A$4,(Tabelle1!I$2*(1+Tabelle1!I$2)^Tabelle1!$A4)/((1+Tabelle1!I$2)^Tabelle1!$A4-1)))))</f>
        <v>1.7832647462277103</v>
      </c>
      <c r="J4" s="11">
        <f>IF($B$1=Tabelle2!$A$1,(1+Tabelle1!J$2)^Tabelle1!$A4,IF($B$1=Tabelle2!$A$2,(1+Tabelle1!J$2)^(-Tabelle1!$A4),IF($B$1=Tabelle2!$A$3,((1+Tabelle1!J$2)^Tabelle1!$A4-1)/(Tabelle1!J$2*(1+Tabelle1!J$2)^Tabelle1!$A4),IF($B$1=Tabelle2!$A$4,(Tabelle1!J$2*(1+Tabelle1!J$2)^Tabelle1!$A4)/((1+Tabelle1!J$2)^Tabelle1!$A4-1)))))</f>
        <v>1.7591111859271118</v>
      </c>
      <c r="K4" s="11">
        <f>IF($B$1=Tabelle2!$A$1,(1+Tabelle1!K$2)^Tabelle1!$A4,IF($B$1=Tabelle2!$A$2,(1+Tabelle1!K$2)^(-Tabelle1!$A4),IF($B$1=Tabelle2!$A$3,((1+Tabelle1!K$2)^Tabelle1!$A4-1)/(Tabelle1!K$2*(1+Tabelle1!K$2)^Tabelle1!$A4),IF($B$1=Tabelle2!$A$4,(Tabelle1!K$2*(1+Tabelle1!K$2)^Tabelle1!$A4)/((1+Tabelle1!K$2)^Tabelle1!$A4-1)))))</f>
        <v>1.7355371900826457</v>
      </c>
      <c r="L4" s="11">
        <f>IF($B$1=Tabelle2!$A$1,(1+Tabelle1!L$2)^Tabelle1!$A4,IF($B$1=Tabelle2!$A$2,(1+Tabelle1!L$2)^(-Tabelle1!$A4),IF($B$1=Tabelle2!$A$3,((1+Tabelle1!L$2)^Tabelle1!$A4-1)/(Tabelle1!L$2*(1+Tabelle1!L$2)^Tabelle1!$A4),IF($B$1=Tabelle2!$A$4,(Tabelle1!L$2*(1+Tabelle1!L$2)^Tabelle1!$A4)/((1+Tabelle1!L$2)^Tabelle1!$A4-1)))))</f>
        <v>1.7125233341449571</v>
      </c>
      <c r="M4" s="11">
        <f>IF($B$1=Tabelle2!$A$1,(1+Tabelle1!M$2)^Tabelle1!$A4,IF($B$1=Tabelle2!$A$2,(1+Tabelle1!M$2)^(-Tabelle1!$A4),IF($B$1=Tabelle2!$A$3,((1+Tabelle1!M$2)^Tabelle1!$A4-1)/(Tabelle1!M$2*(1+Tabelle1!M$2)^Tabelle1!$A4),IF($B$1=Tabelle2!$A$4,(Tabelle1!M$2*(1+Tabelle1!M$2)^Tabelle1!$A4)/((1+Tabelle1!M$2)^Tabelle1!$A4-1)))))</f>
        <v>1.6900510204081642</v>
      </c>
    </row>
    <row r="5" spans="1:13" x14ac:dyDescent="0.2">
      <c r="A5" s="6">
        <v>3</v>
      </c>
      <c r="B5" s="11">
        <f>IF($B$1=Tabelle2!$A$1,(1+Tabelle1!B$2)^Tabelle1!$A5,IF($B$1=Tabelle2!$A$2,(1+Tabelle1!B$2)^(-Tabelle1!$A5),IF($B$1=Tabelle2!$A$3,((1+Tabelle1!B$2)^Tabelle1!$A5-1)/(Tabelle1!B$2*(1+Tabelle1!B$2)^Tabelle1!$A5),IF($B$1=Tabelle2!$A$4,(Tabelle1!B$2*(1+Tabelle1!B$2)^Tabelle1!$A5)/((1+Tabelle1!B$2)^Tabelle1!$A5-1)))))</f>
        <v>2.9409852072355469</v>
      </c>
      <c r="C5" s="11">
        <f>IF($B$1=Tabelle2!$A$1,(1+Tabelle1!C$2)^Tabelle1!$A5,IF($B$1=Tabelle2!$A$2,(1+Tabelle1!C$2)^(-Tabelle1!$A5),IF($B$1=Tabelle2!$A$3,((1+Tabelle1!C$2)^Tabelle1!$A5-1)/(Tabelle1!C$2*(1+Tabelle1!C$2)^Tabelle1!$A5),IF($B$1=Tabelle2!$A$4,(Tabelle1!C$2*(1+Tabelle1!C$2)^Tabelle1!$A5)/((1+Tabelle1!C$2)^Tabelle1!$A5-1)))))</f>
        <v>2.8838832726477719</v>
      </c>
      <c r="D5" s="11">
        <f>IF($B$1=Tabelle2!$A$1,(1+Tabelle1!D$2)^Tabelle1!$A5,IF($B$1=Tabelle2!$A$2,(1+Tabelle1!D$2)^(-Tabelle1!$A5),IF($B$1=Tabelle2!$A$3,((1+Tabelle1!D$2)^Tabelle1!$A5-1)/(Tabelle1!D$2*(1+Tabelle1!D$2)^Tabelle1!$A5),IF($B$1=Tabelle2!$A$4,(Tabelle1!D$2*(1+Tabelle1!D$2)^Tabelle1!$A5)/((1+Tabelle1!D$2)^Tabelle1!$A5-1)))))</f>
        <v>2.8286113548946807</v>
      </c>
      <c r="E5" s="11">
        <f>IF($B$1=Tabelle2!$A$1,(1+Tabelle1!E$2)^Tabelle1!$A5,IF($B$1=Tabelle2!$A$2,(1+Tabelle1!E$2)^(-Tabelle1!$A5),IF($B$1=Tabelle2!$A$3,((1+Tabelle1!E$2)^Tabelle1!$A5-1)/(Tabelle1!E$2*(1+Tabelle1!E$2)^Tabelle1!$A5),IF($B$1=Tabelle2!$A$4,(Tabelle1!E$2*(1+Tabelle1!E$2)^Tabelle1!$A5)/((1+Tabelle1!E$2)^Tabelle1!$A5-1)))))</f>
        <v>2.7750910332271297</v>
      </c>
      <c r="F5" s="11">
        <f>IF($B$1=Tabelle2!$A$1,(1+Tabelle1!F$2)^Tabelle1!$A5,IF($B$1=Tabelle2!$A$2,(1+Tabelle1!F$2)^(-Tabelle1!$A5),IF($B$1=Tabelle2!$A$3,((1+Tabelle1!F$2)^Tabelle1!$A5-1)/(Tabelle1!F$2*(1+Tabelle1!F$2)^Tabelle1!$A5),IF($B$1=Tabelle2!$A$4,(Tabelle1!F$2*(1+Tabelle1!F$2)^Tabelle1!$A5)/((1+Tabelle1!F$2)^Tabelle1!$A5-1)))))</f>
        <v>2.7232480293704802</v>
      </c>
      <c r="G5" s="11">
        <f>IF($B$1=Tabelle2!$A$1,(1+Tabelle1!G$2)^Tabelle1!$A5,IF($B$1=Tabelle2!$A$2,(1+Tabelle1!G$2)^(-Tabelle1!$A5),IF($B$1=Tabelle2!$A$3,((1+Tabelle1!G$2)^Tabelle1!$A5-1)/(Tabelle1!G$2*(1+Tabelle1!G$2)^Tabelle1!$A5),IF($B$1=Tabelle2!$A$4,(Tabelle1!G$2*(1+Tabelle1!G$2)^Tabelle1!$A5)/((1+Tabelle1!G$2)^Tabelle1!$A5-1)))))</f>
        <v>2.6730119494616398</v>
      </c>
      <c r="H5" s="11">
        <f>IF($B$1=Tabelle2!$A$1,(1+Tabelle1!H$2)^Tabelle1!$A5,IF($B$1=Tabelle2!$A$2,(1+Tabelle1!H$2)^(-Tabelle1!$A5),IF($B$1=Tabelle2!$A$3,((1+Tabelle1!H$2)^Tabelle1!$A5-1)/(Tabelle1!H$2*(1+Tabelle1!H$2)^Tabelle1!$A5),IF($B$1=Tabelle2!$A$4,(Tabelle1!H$2*(1+Tabelle1!H$2)^Tabelle1!$A5)/((1+Tabelle1!H$2)^Tabelle1!$A5-1)))))</f>
        <v>2.6243160444164007</v>
      </c>
      <c r="I5" s="11">
        <f>IF($B$1=Tabelle2!$A$1,(1+Tabelle1!I$2)^Tabelle1!$A5,IF($B$1=Tabelle2!$A$2,(1+Tabelle1!I$2)^(-Tabelle1!$A5),IF($B$1=Tabelle2!$A$3,((1+Tabelle1!I$2)^Tabelle1!$A5-1)/(Tabelle1!I$2*(1+Tabelle1!I$2)^Tabelle1!$A5),IF($B$1=Tabelle2!$A$4,(Tabelle1!I$2*(1+Tabelle1!I$2)^Tabelle1!$A5)/((1+Tabelle1!I$2)^Tabelle1!$A5-1)))))</f>
        <v>2.5770969872478804</v>
      </c>
      <c r="J5" s="11">
        <f>IF($B$1=Tabelle2!$A$1,(1+Tabelle1!J$2)^Tabelle1!$A5,IF($B$1=Tabelle2!$A$2,(1+Tabelle1!J$2)^(-Tabelle1!$A5),IF($B$1=Tabelle2!$A$3,((1+Tabelle1!J$2)^Tabelle1!$A5-1)/(Tabelle1!J$2*(1+Tabelle1!J$2)^Tabelle1!$A5),IF($B$1=Tabelle2!$A$4,(Tabelle1!J$2*(1+Tabelle1!J$2)^Tabelle1!$A5)/((1+Tabelle1!J$2)^Tabelle1!$A5-1)))))</f>
        <v>2.5312946659881761</v>
      </c>
      <c r="K5" s="11">
        <f>IF($B$1=Tabelle2!$A$1,(1+Tabelle1!K$2)^Tabelle1!$A5,IF($B$1=Tabelle2!$A$2,(1+Tabelle1!K$2)^(-Tabelle1!$A5),IF($B$1=Tabelle2!$A$3,((1+Tabelle1!K$2)^Tabelle1!$A5-1)/(Tabelle1!K$2*(1+Tabelle1!K$2)^Tabelle1!$A5),IF($B$1=Tabelle2!$A$4,(Tabelle1!K$2*(1+Tabelle1!K$2)^Tabelle1!$A5)/((1+Tabelle1!K$2)^Tabelle1!$A5-1)))))</f>
        <v>2.4868519909842246</v>
      </c>
      <c r="L5" s="11">
        <f>IF($B$1=Tabelle2!$A$1,(1+Tabelle1!L$2)^Tabelle1!$A5,IF($B$1=Tabelle2!$A$2,(1+Tabelle1!L$2)^(-Tabelle1!$A5),IF($B$1=Tabelle2!$A$3,((1+Tabelle1!L$2)^Tabelle1!$A5-1)/(Tabelle1!L$2*(1+Tabelle1!L$2)^Tabelle1!$A5),IF($B$1=Tabelle2!$A$4,(Tabelle1!L$2*(1+Tabelle1!L$2)^Tabelle1!$A5)/((1+Tabelle1!L$2)^Tabelle1!$A5-1)))))</f>
        <v>2.4437147154459073</v>
      </c>
      <c r="M5" s="11">
        <f>IF($B$1=Tabelle2!$A$1,(1+Tabelle1!M$2)^Tabelle1!$A5,IF($B$1=Tabelle2!$A$2,(1+Tabelle1!M$2)^(-Tabelle1!$A5),IF($B$1=Tabelle2!$A$3,((1+Tabelle1!M$2)^Tabelle1!$A5-1)/(Tabelle1!M$2*(1+Tabelle1!M$2)^Tabelle1!$A5),IF($B$1=Tabelle2!$A$4,(Tabelle1!M$2*(1+Tabelle1!M$2)^Tabelle1!$A5)/((1+Tabelle1!M$2)^Tabelle1!$A5-1)))))</f>
        <v>2.4018312682215761</v>
      </c>
    </row>
    <row r="6" spans="1:13" x14ac:dyDescent="0.2">
      <c r="A6" s="6">
        <v>4</v>
      </c>
      <c r="B6" s="11">
        <f>IF($B$1=Tabelle2!$A$1,(1+Tabelle1!B$2)^Tabelle1!$A6,IF($B$1=Tabelle2!$A$2,(1+Tabelle1!B$2)^(-Tabelle1!$A6),IF($B$1=Tabelle2!$A$3,((1+Tabelle1!B$2)^Tabelle1!$A6-1)/(Tabelle1!B$2*(1+Tabelle1!B$2)^Tabelle1!$A6),IF($B$1=Tabelle2!$A$4,(Tabelle1!B$2*(1+Tabelle1!B$2)^Tabelle1!$A6)/((1+Tabelle1!B$2)^Tabelle1!$A6-1)))))</f>
        <v>3.9019655517183742</v>
      </c>
      <c r="C6" s="11">
        <f>IF($B$1=Tabelle2!$A$1,(1+Tabelle1!C$2)^Tabelle1!$A6,IF($B$1=Tabelle2!$A$2,(1+Tabelle1!C$2)^(-Tabelle1!$A6),IF($B$1=Tabelle2!$A$3,((1+Tabelle1!C$2)^Tabelle1!$A6-1)/(Tabelle1!C$2*(1+Tabelle1!C$2)^Tabelle1!$A6),IF($B$1=Tabelle2!$A$4,(Tabelle1!C$2*(1+Tabelle1!C$2)^Tabelle1!$A6)/((1+Tabelle1!C$2)^Tabelle1!$A6-1)))))</f>
        <v>3.8077286986742878</v>
      </c>
      <c r="D6" s="11">
        <f>IF($B$1=Tabelle2!$A$1,(1+Tabelle1!D$2)^Tabelle1!$A6,IF($B$1=Tabelle2!$A$2,(1+Tabelle1!D$2)^(-Tabelle1!$A6),IF($B$1=Tabelle2!$A$3,((1+Tabelle1!D$2)^Tabelle1!$A6-1)/(Tabelle1!D$2*(1+Tabelle1!D$2)^Tabelle1!$A6),IF($B$1=Tabelle2!$A$4,(Tabelle1!D$2*(1+Tabelle1!D$2)^Tabelle1!$A6)/((1+Tabelle1!D$2)^Tabelle1!$A6-1)))))</f>
        <v>3.7170984028103682</v>
      </c>
      <c r="E6" s="11">
        <f>IF($B$1=Tabelle2!$A$1,(1+Tabelle1!E$2)^Tabelle1!$A6,IF($B$1=Tabelle2!$A$2,(1+Tabelle1!E$2)^(-Tabelle1!$A6),IF($B$1=Tabelle2!$A$3,((1+Tabelle1!E$2)^Tabelle1!$A6-1)/(Tabelle1!E$2*(1+Tabelle1!E$2)^Tabelle1!$A6),IF($B$1=Tabelle2!$A$4,(Tabelle1!E$2*(1+Tabelle1!E$2)^Tabelle1!$A6)/((1+Tabelle1!E$2)^Tabelle1!$A6-1)))))</f>
        <v>3.6298952242568578</v>
      </c>
      <c r="F6" s="11">
        <f>IF($B$1=Tabelle2!$A$1,(1+Tabelle1!F$2)^Tabelle1!$A6,IF($B$1=Tabelle2!$A$2,(1+Tabelle1!F$2)^(-Tabelle1!$A6),IF($B$1=Tabelle2!$A$3,((1+Tabelle1!F$2)^Tabelle1!$A6-1)/(Tabelle1!F$2*(1+Tabelle1!F$2)^Tabelle1!$A6),IF($B$1=Tabelle2!$A$4,(Tabelle1!F$2*(1+Tabelle1!F$2)^Tabelle1!$A6)/((1+Tabelle1!F$2)^Tabelle1!$A6-1)))))</f>
        <v>3.5459505041623602</v>
      </c>
      <c r="G6" s="11">
        <f>IF($B$1=Tabelle2!$A$1,(1+Tabelle1!G$2)^Tabelle1!$A6,IF($B$1=Tabelle2!$A$2,(1+Tabelle1!G$2)^(-Tabelle1!$A6),IF($B$1=Tabelle2!$A$3,((1+Tabelle1!G$2)^Tabelle1!$A6-1)/(Tabelle1!G$2*(1+Tabelle1!G$2)^Tabelle1!$A6),IF($B$1=Tabelle2!$A$4,(Tabelle1!G$2*(1+Tabelle1!G$2)^Tabelle1!$A6)/((1+Tabelle1!G$2)^Tabelle1!$A6-1)))))</f>
        <v>3.4651056126996602</v>
      </c>
      <c r="H6" s="11">
        <f>IF($B$1=Tabelle2!$A$1,(1+Tabelle1!H$2)^Tabelle1!$A6,IF($B$1=Tabelle2!$A$2,(1+Tabelle1!H$2)^(-Tabelle1!$A6),IF($B$1=Tabelle2!$A$3,((1+Tabelle1!H$2)^Tabelle1!$A6-1)/(Tabelle1!H$2*(1+Tabelle1!H$2)^Tabelle1!$A6),IF($B$1=Tabelle2!$A$4,(Tabelle1!H$2*(1+Tabelle1!H$2)^Tabelle1!$A6)/((1+Tabelle1!H$2)^Tabelle1!$A6-1)))))</f>
        <v>3.387211256463925</v>
      </c>
      <c r="I6" s="11">
        <f>IF($B$1=Tabelle2!$A$1,(1+Tabelle1!I$2)^Tabelle1!$A6,IF($B$1=Tabelle2!$A$2,(1+Tabelle1!I$2)^(-Tabelle1!$A6),IF($B$1=Tabelle2!$A$3,((1+Tabelle1!I$2)^Tabelle1!$A6-1)/(Tabelle1!I$2*(1+Tabelle1!I$2)^Tabelle1!$A6),IF($B$1=Tabelle2!$A$4,(Tabelle1!I$2*(1+Tabelle1!I$2)^Tabelle1!$A6)/((1+Tabelle1!I$2)^Tabelle1!$A6-1)))))</f>
        <v>3.3121268400443342</v>
      </c>
      <c r="J6" s="11">
        <f>IF($B$1=Tabelle2!$A$1,(1+Tabelle1!J$2)^Tabelle1!$A6,IF($B$1=Tabelle2!$A$2,(1+Tabelle1!J$2)^(-Tabelle1!$A6),IF($B$1=Tabelle2!$A$3,((1+Tabelle1!J$2)^Tabelle1!$A6-1)/(Tabelle1!J$2*(1+Tabelle1!J$2)^Tabelle1!$A6),IF($B$1=Tabelle2!$A$4,(Tabelle1!J$2*(1+Tabelle1!J$2)^Tabelle1!$A6)/((1+Tabelle1!J$2)^Tabelle1!$A6-1)))))</f>
        <v>3.2397198770533731</v>
      </c>
      <c r="K6" s="11">
        <f>IF($B$1=Tabelle2!$A$1,(1+Tabelle1!K$2)^Tabelle1!$A6,IF($B$1=Tabelle2!$A$2,(1+Tabelle1!K$2)^(-Tabelle1!$A6),IF($B$1=Tabelle2!$A$3,((1+Tabelle1!K$2)^Tabelle1!$A6-1)/(Tabelle1!K$2*(1+Tabelle1!K$2)^Tabelle1!$A6),IF($B$1=Tabelle2!$A$4,(Tabelle1!K$2*(1+Tabelle1!K$2)^Tabelle1!$A6)/((1+Tabelle1!K$2)^Tabelle1!$A6-1)))))</f>
        <v>3.169865446349295</v>
      </c>
      <c r="L6" s="11">
        <f>IF($B$1=Tabelle2!$A$1,(1+Tabelle1!L$2)^Tabelle1!$A6,IF($B$1=Tabelle2!$A$2,(1+Tabelle1!L$2)^(-Tabelle1!$A6),IF($B$1=Tabelle2!$A$3,((1+Tabelle1!L$2)^Tabelle1!$A6-1)/(Tabelle1!L$2*(1+Tabelle1!L$2)^Tabelle1!$A6),IF($B$1=Tabelle2!$A$4,(Tabelle1!L$2*(1+Tabelle1!L$2)^Tabelle1!$A6)/((1+Tabelle1!L$2)^Tabelle1!$A6-1)))))</f>
        <v>3.1024456895909078</v>
      </c>
      <c r="M6" s="11">
        <f>IF($B$1=Tabelle2!$A$1,(1+Tabelle1!M$2)^Tabelle1!$A6,IF($B$1=Tabelle2!$A$2,(1+Tabelle1!M$2)^(-Tabelle1!$A6),IF($B$1=Tabelle2!$A$3,((1+Tabelle1!M$2)^Tabelle1!$A6-1)/(Tabelle1!M$2*(1+Tabelle1!M$2)^Tabelle1!$A6),IF($B$1=Tabelle2!$A$4,(Tabelle1!M$2*(1+Tabelle1!M$2)^Tabelle1!$A6)/((1+Tabelle1!M$2)^Tabelle1!$A6-1)))))</f>
        <v>3.037349346626407</v>
      </c>
    </row>
    <row r="7" spans="1:13" x14ac:dyDescent="0.2">
      <c r="A7" s="6">
        <v>5</v>
      </c>
      <c r="B7" s="11">
        <f>IF($B$1=Tabelle2!$A$1,(1+Tabelle1!B$2)^Tabelle1!$A7,IF($B$1=Tabelle2!$A$2,(1+Tabelle1!B$2)^(-Tabelle1!$A7),IF($B$1=Tabelle2!$A$3,((1+Tabelle1!B$2)^Tabelle1!$A7-1)/(Tabelle1!B$2*(1+Tabelle1!B$2)^Tabelle1!$A7),IF($B$1=Tabelle2!$A$4,(Tabelle1!B$2*(1+Tabelle1!B$2)^Tabelle1!$A7)/((1+Tabelle1!B$2)^Tabelle1!$A7-1)))))</f>
        <v>4.853431239325114</v>
      </c>
      <c r="C7" s="11">
        <f>IF($B$1=Tabelle2!$A$1,(1+Tabelle1!C$2)^Tabelle1!$A7,IF($B$1=Tabelle2!$A$2,(1+Tabelle1!C$2)^(-Tabelle1!$A7),IF($B$1=Tabelle2!$A$3,((1+Tabelle1!C$2)^Tabelle1!$A7-1)/(Tabelle1!C$2*(1+Tabelle1!C$2)^Tabelle1!$A7),IF($B$1=Tabelle2!$A$4,(Tabelle1!C$2*(1+Tabelle1!C$2)^Tabelle1!$A7)/((1+Tabelle1!C$2)^Tabelle1!$A7-1)))))</f>
        <v>4.7134595085042053</v>
      </c>
      <c r="D7" s="11">
        <f>IF($B$1=Tabelle2!$A$1,(1+Tabelle1!D$2)^Tabelle1!$A7,IF($B$1=Tabelle2!$A$2,(1+Tabelle1!D$2)^(-Tabelle1!$A7),IF($B$1=Tabelle2!$A$3,((1+Tabelle1!D$2)^Tabelle1!$A7-1)/(Tabelle1!D$2*(1+Tabelle1!D$2)^Tabelle1!$A7),IF($B$1=Tabelle2!$A$4,(Tabelle1!D$2*(1+Tabelle1!D$2)^Tabelle1!$A7)/((1+Tabelle1!D$2)^Tabelle1!$A7-1)))))</f>
        <v>4.5797071871945301</v>
      </c>
      <c r="E7" s="11">
        <f>IF($B$1=Tabelle2!$A$1,(1+Tabelle1!E$2)^Tabelle1!$A7,IF($B$1=Tabelle2!$A$2,(1+Tabelle1!E$2)^(-Tabelle1!$A7),IF($B$1=Tabelle2!$A$3,((1+Tabelle1!E$2)^Tabelle1!$A7-1)/(Tabelle1!E$2*(1+Tabelle1!E$2)^Tabelle1!$A7),IF($B$1=Tabelle2!$A$4,(Tabelle1!E$2*(1+Tabelle1!E$2)^Tabelle1!$A7)/((1+Tabelle1!E$2)^Tabelle1!$A7-1)))))</f>
        <v>4.4518223310162108</v>
      </c>
      <c r="F7" s="11">
        <f>IF($B$1=Tabelle2!$A$1,(1+Tabelle1!F$2)^Tabelle1!$A7,IF($B$1=Tabelle2!$A$2,(1+Tabelle1!F$2)^(-Tabelle1!$A7),IF($B$1=Tabelle2!$A$3,((1+Tabelle1!F$2)^Tabelle1!$A7-1)/(Tabelle1!F$2*(1+Tabelle1!F$2)^Tabelle1!$A7),IF($B$1=Tabelle2!$A$4,(Tabelle1!F$2*(1+Tabelle1!F$2)^Tabelle1!$A7)/((1+Tabelle1!F$2)^Tabelle1!$A7-1)))))</f>
        <v>4.3294766706308208</v>
      </c>
      <c r="G7" s="11">
        <f>IF($B$1=Tabelle2!$A$1,(1+Tabelle1!G$2)^Tabelle1!$A7,IF($B$1=Tabelle2!$A$2,(1+Tabelle1!G$2)^(-Tabelle1!$A7),IF($B$1=Tabelle2!$A$3,((1+Tabelle1!G$2)^Tabelle1!$A7-1)/(Tabelle1!G$2*(1+Tabelle1!G$2)^Tabelle1!$A7),IF($B$1=Tabelle2!$A$4,(Tabelle1!G$2*(1+Tabelle1!G$2)^Tabelle1!$A7)/((1+Tabelle1!G$2)^Tabelle1!$A7-1)))))</f>
        <v>4.2123637855657181</v>
      </c>
      <c r="H7" s="11">
        <f>IF($B$1=Tabelle2!$A$1,(1+Tabelle1!H$2)^Tabelle1!$A7,IF($B$1=Tabelle2!$A$2,(1+Tabelle1!H$2)^(-Tabelle1!$A7),IF($B$1=Tabelle2!$A$3,((1+Tabelle1!H$2)^Tabelle1!$A7-1)/(Tabelle1!H$2*(1+Tabelle1!H$2)^Tabelle1!$A7),IF($B$1=Tabelle2!$A$4,(Tabelle1!H$2*(1+Tabelle1!H$2)^Tabelle1!$A7)/((1+Tabelle1!H$2)^Tabelle1!$A7-1)))))</f>
        <v>4.100197435947595</v>
      </c>
      <c r="I7" s="11">
        <f>IF($B$1=Tabelle2!$A$1,(1+Tabelle1!I$2)^Tabelle1!$A7,IF($B$1=Tabelle2!$A$2,(1+Tabelle1!I$2)^(-Tabelle1!$A7),IF($B$1=Tabelle2!$A$3,((1+Tabelle1!I$2)^Tabelle1!$A7-1)/(Tabelle1!I$2*(1+Tabelle1!I$2)^Tabelle1!$A7),IF($B$1=Tabelle2!$A$4,(Tabelle1!I$2*(1+Tabelle1!I$2)^Tabelle1!$A7)/((1+Tabelle1!I$2)^Tabelle1!$A7-1)))))</f>
        <v>3.9927100370780875</v>
      </c>
      <c r="J7" s="11">
        <f>IF($B$1=Tabelle2!$A$1,(1+Tabelle1!J$2)^Tabelle1!$A7,IF($B$1=Tabelle2!$A$2,(1+Tabelle1!J$2)^(-Tabelle1!$A7),IF($B$1=Tabelle2!$A$3,((1+Tabelle1!J$2)^Tabelle1!$A7-1)/(Tabelle1!J$2*(1+Tabelle1!J$2)^Tabelle1!$A7),IF($B$1=Tabelle2!$A$4,(Tabelle1!J$2*(1+Tabelle1!J$2)^Tabelle1!$A7)/((1+Tabelle1!J$2)^Tabelle1!$A7-1)))))</f>
        <v>3.8896512633517188</v>
      </c>
      <c r="K7" s="11">
        <f>IF($B$1=Tabelle2!$A$1,(1+Tabelle1!K$2)^Tabelle1!$A7,IF($B$1=Tabelle2!$A$2,(1+Tabelle1!K$2)^(-Tabelle1!$A7),IF($B$1=Tabelle2!$A$3,((1+Tabelle1!K$2)^Tabelle1!$A7-1)/(Tabelle1!K$2*(1+Tabelle1!K$2)^Tabelle1!$A7),IF($B$1=Tabelle2!$A$4,(Tabelle1!K$2*(1+Tabelle1!K$2)^Tabelle1!$A7)/((1+Tabelle1!K$2)^Tabelle1!$A7-1)))))</f>
        <v>3.7907867694084505</v>
      </c>
      <c r="L7" s="11">
        <f>IF($B$1=Tabelle2!$A$1,(1+Tabelle1!L$2)^Tabelle1!$A7,IF($B$1=Tabelle2!$A$2,(1+Tabelle1!L$2)^(-Tabelle1!$A7),IF($B$1=Tabelle2!$A$3,((1+Tabelle1!L$2)^Tabelle1!$A7-1)/(Tabelle1!L$2*(1+Tabelle1!L$2)^Tabelle1!$A7),IF($B$1=Tabelle2!$A$4,(Tabelle1!L$2*(1+Tabelle1!L$2)^Tabelle1!$A7)/((1+Tabelle1!L$2)^Tabelle1!$A7-1)))))</f>
        <v>3.6958970176494668</v>
      </c>
      <c r="M7" s="11">
        <f>IF($B$1=Tabelle2!$A$1,(1+Tabelle1!M$2)^Tabelle1!$A7,IF($B$1=Tabelle2!$A$2,(1+Tabelle1!M$2)^(-Tabelle1!$A7),IF($B$1=Tabelle2!$A$3,((1+Tabelle1!M$2)^Tabelle1!$A7-1)/(Tabelle1!M$2*(1+Tabelle1!M$2)^Tabelle1!$A7),IF($B$1=Tabelle2!$A$4,(Tabelle1!M$2*(1+Tabelle1!M$2)^Tabelle1!$A7)/((1+Tabelle1!M$2)^Tabelle1!$A7-1)))))</f>
        <v>3.6047762023450067</v>
      </c>
    </row>
    <row r="8" spans="1:13" x14ac:dyDescent="0.2">
      <c r="A8" s="6">
        <v>6</v>
      </c>
      <c r="B8" s="11">
        <f>IF($B$1=Tabelle2!$A$1,(1+Tabelle1!B$2)^Tabelle1!$A8,IF($B$1=Tabelle2!$A$2,(1+Tabelle1!B$2)^(-Tabelle1!$A8),IF($B$1=Tabelle2!$A$3,((1+Tabelle1!B$2)^Tabelle1!$A8-1)/(Tabelle1!B$2*(1+Tabelle1!B$2)^Tabelle1!$A8),IF($B$1=Tabelle2!$A$4,(Tabelle1!B$2*(1+Tabelle1!B$2)^Tabelle1!$A8)/((1+Tabelle1!B$2)^Tabelle1!$A8-1)))))</f>
        <v>5.7954764745793392</v>
      </c>
      <c r="C8" s="11">
        <f>IF($B$1=Tabelle2!$A$1,(1+Tabelle1!C$2)^Tabelle1!$A8,IF($B$1=Tabelle2!$A$2,(1+Tabelle1!C$2)^(-Tabelle1!$A8),IF($B$1=Tabelle2!$A$3,((1+Tabelle1!C$2)^Tabelle1!$A8-1)/(Tabelle1!C$2*(1+Tabelle1!C$2)^Tabelle1!$A8),IF($B$1=Tabelle2!$A$4,(Tabelle1!C$2*(1+Tabelle1!C$2)^Tabelle1!$A8)/((1+Tabelle1!C$2)^Tabelle1!$A8-1)))))</f>
        <v>5.6014308906904002</v>
      </c>
      <c r="D8" s="11">
        <f>IF($B$1=Tabelle2!$A$1,(1+Tabelle1!D$2)^Tabelle1!$A8,IF($B$1=Tabelle2!$A$2,(1+Tabelle1!D$2)^(-Tabelle1!$A8),IF($B$1=Tabelle2!$A$3,((1+Tabelle1!D$2)^Tabelle1!$A8-1)/(Tabelle1!D$2*(1+Tabelle1!D$2)^Tabelle1!$A8),IF($B$1=Tabelle2!$A$4,(Tabelle1!D$2*(1+Tabelle1!D$2)^Tabelle1!$A8)/((1+Tabelle1!D$2)^Tabelle1!$A8-1)))))</f>
        <v>5.4171914438781865</v>
      </c>
      <c r="E8" s="11">
        <f>IF($B$1=Tabelle2!$A$1,(1+Tabelle1!E$2)^Tabelle1!$A8,IF($B$1=Tabelle2!$A$2,(1+Tabelle1!E$2)^(-Tabelle1!$A8),IF($B$1=Tabelle2!$A$3,((1+Tabelle1!E$2)^Tabelle1!$A8-1)/(Tabelle1!E$2*(1+Tabelle1!E$2)^Tabelle1!$A8),IF($B$1=Tabelle2!$A$4,(Tabelle1!E$2*(1+Tabelle1!E$2)^Tabelle1!$A8)/((1+Tabelle1!E$2)^Tabelle1!$A8-1)))))</f>
        <v>5.2421368567463569</v>
      </c>
      <c r="F8" s="11">
        <f>IF($B$1=Tabelle2!$A$1,(1+Tabelle1!F$2)^Tabelle1!$A8,IF($B$1=Tabelle2!$A$2,(1+Tabelle1!F$2)^(-Tabelle1!$A8),IF($B$1=Tabelle2!$A$3,((1+Tabelle1!F$2)^Tabelle1!$A8-1)/(Tabelle1!F$2*(1+Tabelle1!F$2)^Tabelle1!$A8),IF($B$1=Tabelle2!$A$4,(Tabelle1!F$2*(1+Tabelle1!F$2)^Tabelle1!$A8)/((1+Tabelle1!F$2)^Tabelle1!$A8-1)))))</f>
        <v>5.0756920672674468</v>
      </c>
      <c r="G8" s="11">
        <f>IF($B$1=Tabelle2!$A$1,(1+Tabelle1!G$2)^Tabelle1!$A8,IF($B$1=Tabelle2!$A$2,(1+Tabelle1!G$2)^(-Tabelle1!$A8),IF($B$1=Tabelle2!$A$3,((1+Tabelle1!G$2)^Tabelle1!$A8-1)/(Tabelle1!G$2*(1+Tabelle1!G$2)^Tabelle1!$A8),IF($B$1=Tabelle2!$A$4,(Tabelle1!G$2*(1+Tabelle1!G$2)^Tabelle1!$A8)/((1+Tabelle1!G$2)^Tabelle1!$A8-1)))))</f>
        <v>4.9173243260053949</v>
      </c>
      <c r="H8" s="11">
        <f>IF($B$1=Tabelle2!$A$1,(1+Tabelle1!H$2)^Tabelle1!$A8,IF($B$1=Tabelle2!$A$2,(1+Tabelle1!H$2)^(-Tabelle1!$A8),IF($B$1=Tabelle2!$A$3,((1+Tabelle1!H$2)^Tabelle1!$A8-1)/(Tabelle1!H$2*(1+Tabelle1!H$2)^Tabelle1!$A8),IF($B$1=Tabelle2!$A$4,(Tabelle1!H$2*(1+Tabelle1!H$2)^Tabelle1!$A8)/((1+Tabelle1!H$2)^Tabelle1!$A8-1)))))</f>
        <v>4.7665396597641063</v>
      </c>
      <c r="I8" s="11">
        <f>IF($B$1=Tabelle2!$A$1,(1+Tabelle1!I$2)^Tabelle1!$A8,IF($B$1=Tabelle2!$A$2,(1+Tabelle1!I$2)^(-Tabelle1!$A8),IF($B$1=Tabelle2!$A$3,((1+Tabelle1!I$2)^Tabelle1!$A8-1)/(Tabelle1!I$2*(1+Tabelle1!I$2)^Tabelle1!$A8),IF($B$1=Tabelle2!$A$4,(Tabelle1!I$2*(1+Tabelle1!I$2)^Tabelle1!$A8)/((1+Tabelle1!I$2)^Tabelle1!$A8-1)))))</f>
        <v>4.6228796639611929</v>
      </c>
      <c r="J8" s="11">
        <f>IF($B$1=Tabelle2!$A$1,(1+Tabelle1!J$2)^Tabelle1!$A8,IF($B$1=Tabelle2!$A$2,(1+Tabelle1!J$2)^(-Tabelle1!$A8),IF($B$1=Tabelle2!$A$3,((1+Tabelle1!J$2)^Tabelle1!$A8-1)/(Tabelle1!J$2*(1+Tabelle1!J$2)^Tabelle1!$A8),IF($B$1=Tabelle2!$A$4,(Tabelle1!J$2*(1+Tabelle1!J$2)^Tabelle1!$A8)/((1+Tabelle1!J$2)^Tabelle1!$A8-1)))))</f>
        <v>4.485918590230936</v>
      </c>
      <c r="K8" s="11">
        <f>IF($B$1=Tabelle2!$A$1,(1+Tabelle1!K$2)^Tabelle1!$A8,IF($B$1=Tabelle2!$A$2,(1+Tabelle1!K$2)^(-Tabelle1!$A8),IF($B$1=Tabelle2!$A$3,((1+Tabelle1!K$2)^Tabelle1!$A8-1)/(Tabelle1!K$2*(1+Tabelle1!K$2)^Tabelle1!$A8),IF($B$1=Tabelle2!$A$4,(Tabelle1!K$2*(1+Tabelle1!K$2)^Tabelle1!$A8)/((1+Tabelle1!K$2)^Tabelle1!$A8-1)))))</f>
        <v>4.355260699462228</v>
      </c>
      <c r="L8" s="11">
        <f>IF($B$1=Tabelle2!$A$1,(1+Tabelle1!L$2)^Tabelle1!$A8,IF($B$1=Tabelle2!$A$2,(1+Tabelle1!L$2)^(-Tabelle1!$A8),IF($B$1=Tabelle2!$A$3,((1+Tabelle1!L$2)^Tabelle1!$A8-1)/(Tabelle1!L$2*(1+Tabelle1!L$2)^Tabelle1!$A8),IF($B$1=Tabelle2!$A$4,(Tabelle1!L$2*(1+Tabelle1!L$2)^Tabelle1!$A8)/((1+Tabelle1!L$2)^Tabelle1!$A8-1)))))</f>
        <v>4.2305378537382587</v>
      </c>
      <c r="M8" s="11">
        <f>IF($B$1=Tabelle2!$A$1,(1+Tabelle1!M$2)^Tabelle1!$A8,IF($B$1=Tabelle2!$A$2,(1+Tabelle1!M$2)^(-Tabelle1!$A8),IF($B$1=Tabelle2!$A$3,((1+Tabelle1!M$2)^Tabelle1!$A8-1)/(Tabelle1!M$2*(1+Tabelle1!M$2)^Tabelle1!$A8),IF($B$1=Tabelle2!$A$4,(Tabelle1!M$2*(1+Tabelle1!M$2)^Tabelle1!$A8)/((1+Tabelle1!M$2)^Tabelle1!$A8-1)))))</f>
        <v>4.1114073235223279</v>
      </c>
    </row>
    <row r="9" spans="1:13" x14ac:dyDescent="0.2">
      <c r="A9" s="6">
        <v>7</v>
      </c>
      <c r="B9" s="11">
        <f>IF($B$1=Tabelle2!$A$1,(1+Tabelle1!B$2)^Tabelle1!$A9,IF($B$1=Tabelle2!$A$2,(1+Tabelle1!B$2)^(-Tabelle1!$A9),IF($B$1=Tabelle2!$A$3,((1+Tabelle1!B$2)^Tabelle1!$A9-1)/(Tabelle1!B$2*(1+Tabelle1!B$2)^Tabelle1!$A9),IF($B$1=Tabelle2!$A$4,(Tabelle1!B$2*(1+Tabelle1!B$2)^Tabelle1!$A9)/((1+Tabelle1!B$2)^Tabelle1!$A9-1)))))</f>
        <v>6.7281945292864478</v>
      </c>
      <c r="C9" s="11">
        <f>IF($B$1=Tabelle2!$A$1,(1+Tabelle1!C$2)^Tabelle1!$A9,IF($B$1=Tabelle2!$A$2,(1+Tabelle1!C$2)^(-Tabelle1!$A9),IF($B$1=Tabelle2!$A$3,((1+Tabelle1!C$2)^Tabelle1!$A9-1)/(Tabelle1!C$2*(1+Tabelle1!C$2)^Tabelle1!$A9),IF($B$1=Tabelle2!$A$4,(Tabelle1!C$2*(1+Tabelle1!C$2)^Tabelle1!$A9)/((1+Tabelle1!C$2)^Tabelle1!$A9-1)))))</f>
        <v>6.4719910693043046</v>
      </c>
      <c r="D9" s="11">
        <f>IF($B$1=Tabelle2!$A$1,(1+Tabelle1!D$2)^Tabelle1!$A9,IF($B$1=Tabelle2!$A$2,(1+Tabelle1!D$2)^(-Tabelle1!$A9),IF($B$1=Tabelle2!$A$3,((1+Tabelle1!D$2)^Tabelle1!$A9-1)/(Tabelle1!D$2*(1+Tabelle1!D$2)^Tabelle1!$A9),IF($B$1=Tabelle2!$A$4,(Tabelle1!D$2*(1+Tabelle1!D$2)^Tabelle1!$A9)/((1+Tabelle1!D$2)^Tabelle1!$A9-1)))))</f>
        <v>6.2302829552215409</v>
      </c>
      <c r="E9" s="11">
        <f>IF($B$1=Tabelle2!$A$1,(1+Tabelle1!E$2)^Tabelle1!$A9,IF($B$1=Tabelle2!$A$2,(1+Tabelle1!E$2)^(-Tabelle1!$A9),IF($B$1=Tabelle2!$A$3,((1+Tabelle1!E$2)^Tabelle1!$A9-1)/(Tabelle1!E$2*(1+Tabelle1!E$2)^Tabelle1!$A9),IF($B$1=Tabelle2!$A$4,(Tabelle1!E$2*(1+Tabelle1!E$2)^Tabelle1!$A9)/((1+Tabelle1!E$2)^Tabelle1!$A9-1)))))</f>
        <v>6.0020546699484187</v>
      </c>
      <c r="F9" s="11">
        <f>IF($B$1=Tabelle2!$A$1,(1+Tabelle1!F$2)^Tabelle1!$A9,IF($B$1=Tabelle2!$A$2,(1+Tabelle1!F$2)^(-Tabelle1!$A9),IF($B$1=Tabelle2!$A$3,((1+Tabelle1!F$2)^Tabelle1!$A9-1)/(Tabelle1!F$2*(1+Tabelle1!F$2)^Tabelle1!$A9),IF($B$1=Tabelle2!$A$4,(Tabelle1!F$2*(1+Tabelle1!F$2)^Tabelle1!$A9)/((1+Tabelle1!F$2)^Tabelle1!$A9-1)))))</f>
        <v>5.7863733973975711</v>
      </c>
      <c r="G9" s="11">
        <f>IF($B$1=Tabelle2!$A$1,(1+Tabelle1!G$2)^Tabelle1!$A9,IF($B$1=Tabelle2!$A$2,(1+Tabelle1!G$2)^(-Tabelle1!$A9),IF($B$1=Tabelle2!$A$3,((1+Tabelle1!G$2)^Tabelle1!$A9-1)/(Tabelle1!G$2*(1+Tabelle1!G$2)^Tabelle1!$A9),IF($B$1=Tabelle2!$A$4,(Tabelle1!G$2*(1+Tabelle1!G$2)^Tabelle1!$A9)/((1+Tabelle1!G$2)^Tabelle1!$A9-1)))))</f>
        <v>5.5823814396277331</v>
      </c>
      <c r="H9" s="11">
        <f>IF($B$1=Tabelle2!$A$1,(1+Tabelle1!H$2)^Tabelle1!$A9,IF($B$1=Tabelle2!$A$2,(1+Tabelle1!H$2)^(-Tabelle1!$A9),IF($B$1=Tabelle2!$A$3,((1+Tabelle1!H$2)^Tabelle1!$A9-1)/(Tabelle1!H$2*(1+Tabelle1!H$2)^Tabelle1!$A9),IF($B$1=Tabelle2!$A$4,(Tabelle1!H$2*(1+Tabelle1!H$2)^Tabelle1!$A9)/((1+Tabelle1!H$2)^Tabelle1!$A9-1)))))</f>
        <v>5.3892894016486981</v>
      </c>
      <c r="I9" s="11">
        <f>IF($B$1=Tabelle2!$A$1,(1+Tabelle1!I$2)^Tabelle1!$A9,IF($B$1=Tabelle2!$A$2,(1+Tabelle1!I$2)^(-Tabelle1!$A9),IF($B$1=Tabelle2!$A$3,((1+Tabelle1!I$2)^Tabelle1!$A9-1)/(Tabelle1!I$2*(1+Tabelle1!I$2)^Tabelle1!$A9),IF($B$1=Tabelle2!$A$4,(Tabelle1!I$2*(1+Tabelle1!I$2)^Tabelle1!$A9)/((1+Tabelle1!I$2)^Tabelle1!$A9-1)))))</f>
        <v>5.2063700592233264</v>
      </c>
      <c r="J9" s="11">
        <f>IF($B$1=Tabelle2!$A$1,(1+Tabelle1!J$2)^Tabelle1!$A9,IF($B$1=Tabelle2!$A$2,(1+Tabelle1!J$2)^(-Tabelle1!$A9),IF($B$1=Tabelle2!$A$3,((1+Tabelle1!J$2)^Tabelle1!$A9-1)/(Tabelle1!J$2*(1+Tabelle1!J$2)^Tabelle1!$A9),IF($B$1=Tabelle2!$A$4,(Tabelle1!J$2*(1+Tabelle1!J$2)^Tabelle1!$A9)/((1+Tabelle1!J$2)^Tabelle1!$A9-1)))))</f>
        <v>5.0329528350742532</v>
      </c>
      <c r="K9" s="11">
        <f>IF($B$1=Tabelle2!$A$1,(1+Tabelle1!K$2)^Tabelle1!$A9,IF($B$1=Tabelle2!$A$2,(1+Tabelle1!K$2)^(-Tabelle1!$A9),IF($B$1=Tabelle2!$A$3,((1+Tabelle1!K$2)^Tabelle1!$A9-1)/(Tabelle1!K$2*(1+Tabelle1!K$2)^Tabelle1!$A9),IF($B$1=Tabelle2!$A$4,(Tabelle1!K$2*(1+Tabelle1!K$2)^Tabelle1!$A9)/((1+Tabelle1!K$2)^Tabelle1!$A9-1)))))</f>
        <v>4.8684188176929348</v>
      </c>
      <c r="L9" s="11">
        <f>IF($B$1=Tabelle2!$A$1,(1+Tabelle1!L$2)^Tabelle1!$A9,IF($B$1=Tabelle2!$A$2,(1+Tabelle1!L$2)^(-Tabelle1!$A9),IF($B$1=Tabelle2!$A$3,((1+Tabelle1!L$2)^Tabelle1!$A9-1)/(Tabelle1!L$2*(1+Tabelle1!L$2)^Tabelle1!$A9),IF($B$1=Tabelle2!$A$4,(Tabelle1!L$2*(1+Tabelle1!L$2)^Tabelle1!$A9)/((1+Tabelle1!L$2)^Tabelle1!$A9-1)))))</f>
        <v>4.7121962646290623</v>
      </c>
      <c r="M9" s="11">
        <f>IF($B$1=Tabelle2!$A$1,(1+Tabelle1!M$2)^Tabelle1!$A9,IF($B$1=Tabelle2!$A$2,(1+Tabelle1!M$2)^(-Tabelle1!$A9),IF($B$1=Tabelle2!$A$3,((1+Tabelle1!M$2)^Tabelle1!$A9-1)/(Tabelle1!M$2*(1+Tabelle1!M$2)^Tabelle1!$A9),IF($B$1=Tabelle2!$A$4,(Tabelle1!M$2*(1+Tabelle1!M$2)^Tabelle1!$A9)/((1+Tabelle1!M$2)^Tabelle1!$A9-1)))))</f>
        <v>4.5637565388592209</v>
      </c>
    </row>
    <row r="10" spans="1:13" x14ac:dyDescent="0.2">
      <c r="A10" s="6">
        <v>8</v>
      </c>
      <c r="B10" s="11">
        <f>IF($B$1=Tabelle2!$A$1,(1+Tabelle1!B$2)^Tabelle1!$A10,IF($B$1=Tabelle2!$A$2,(1+Tabelle1!B$2)^(-Tabelle1!$A10),IF($B$1=Tabelle2!$A$3,((1+Tabelle1!B$2)^Tabelle1!$A10-1)/(Tabelle1!B$2*(1+Tabelle1!B$2)^Tabelle1!$A10),IF($B$1=Tabelle2!$A$4,(Tabelle1!B$2*(1+Tabelle1!B$2)^Tabelle1!$A10)/((1+Tabelle1!B$2)^Tabelle1!$A10-1)))))</f>
        <v>7.6516777517687862</v>
      </c>
      <c r="C10" s="11">
        <f>IF($B$1=Tabelle2!$A$1,(1+Tabelle1!C$2)^Tabelle1!$A10,IF($B$1=Tabelle2!$A$2,(1+Tabelle1!C$2)^(-Tabelle1!$A10),IF($B$1=Tabelle2!$A$3,((1+Tabelle1!C$2)^Tabelle1!$A10-1)/(Tabelle1!C$2*(1+Tabelle1!C$2)^Tabelle1!$A10),IF($B$1=Tabelle2!$A$4,(Tabelle1!C$2*(1+Tabelle1!C$2)^Tabelle1!$A10)/((1+Tabelle1!C$2)^Tabelle1!$A10-1)))))</f>
        <v>7.3254814404944195</v>
      </c>
      <c r="D10" s="11">
        <f>IF($B$1=Tabelle2!$A$1,(1+Tabelle1!D$2)^Tabelle1!$A10,IF($B$1=Tabelle2!$A$2,(1+Tabelle1!D$2)^(-Tabelle1!$A10),IF($B$1=Tabelle2!$A$3,((1+Tabelle1!D$2)^Tabelle1!$A10-1)/(Tabelle1!D$2*(1+Tabelle1!D$2)^Tabelle1!$A10),IF($B$1=Tabelle2!$A$4,(Tabelle1!D$2*(1+Tabelle1!D$2)^Tabelle1!$A10)/((1+Tabelle1!D$2)^Tabelle1!$A10-1)))))</f>
        <v>7.0196921895354745</v>
      </c>
      <c r="E10" s="11">
        <f>IF($B$1=Tabelle2!$A$1,(1+Tabelle1!E$2)^Tabelle1!$A10,IF($B$1=Tabelle2!$A$2,(1+Tabelle1!E$2)^(-Tabelle1!$A10),IF($B$1=Tabelle2!$A$3,((1+Tabelle1!E$2)^Tabelle1!$A10-1)/(Tabelle1!E$2*(1+Tabelle1!E$2)^Tabelle1!$A10),IF($B$1=Tabelle2!$A$4,(Tabelle1!E$2*(1+Tabelle1!E$2)^Tabelle1!$A10)/((1+Tabelle1!E$2)^Tabelle1!$A10-1)))))</f>
        <v>6.7327448749504057</v>
      </c>
      <c r="F10" s="11">
        <f>IF($B$1=Tabelle2!$A$1,(1+Tabelle1!F$2)^Tabelle1!$A10,IF($B$1=Tabelle2!$A$2,(1+Tabelle1!F$2)^(-Tabelle1!$A10),IF($B$1=Tabelle2!$A$3,((1+Tabelle1!F$2)^Tabelle1!$A10-1)/(Tabelle1!F$2*(1+Tabelle1!F$2)^Tabelle1!$A10),IF($B$1=Tabelle2!$A$4,(Tabelle1!F$2*(1+Tabelle1!F$2)^Tabelle1!$A10)/((1+Tabelle1!F$2)^Tabelle1!$A10-1)))))</f>
        <v>6.4632127594262556</v>
      </c>
      <c r="G10" s="11">
        <f>IF($B$1=Tabelle2!$A$1,(1+Tabelle1!G$2)^Tabelle1!$A10,IF($B$1=Tabelle2!$A$2,(1+Tabelle1!G$2)^(-Tabelle1!$A10),IF($B$1=Tabelle2!$A$3,((1+Tabelle1!G$2)^Tabelle1!$A10-1)/(Tabelle1!G$2*(1+Tabelle1!G$2)^Tabelle1!$A10),IF($B$1=Tabelle2!$A$4,(Tabelle1!G$2*(1+Tabelle1!G$2)^Tabelle1!$A10)/((1+Tabelle1!G$2)^Tabelle1!$A10-1)))))</f>
        <v>6.2097938109695585</v>
      </c>
      <c r="H10" s="11">
        <f>IF($B$1=Tabelle2!$A$1,(1+Tabelle1!H$2)^Tabelle1!$A10,IF($B$1=Tabelle2!$A$2,(1+Tabelle1!H$2)^(-Tabelle1!$A10),IF($B$1=Tabelle2!$A$3,((1+Tabelle1!H$2)^Tabelle1!$A10-1)/(Tabelle1!H$2*(1+Tabelle1!H$2)^Tabelle1!$A10),IF($B$1=Tabelle2!$A$4,(Tabelle1!H$2*(1+Tabelle1!H$2)^Tabelle1!$A10)/((1+Tabelle1!H$2)^Tabelle1!$A10-1)))))</f>
        <v>5.9712985062137367</v>
      </c>
      <c r="I10" s="11">
        <f>IF($B$1=Tabelle2!$A$1,(1+Tabelle1!I$2)^Tabelle1!$A10,IF($B$1=Tabelle2!$A$2,(1+Tabelle1!I$2)^(-Tabelle1!$A10),IF($B$1=Tabelle2!$A$3,((1+Tabelle1!I$2)^Tabelle1!$A10-1)/(Tabelle1!I$2*(1+Tabelle1!I$2)^Tabelle1!$A10),IF($B$1=Tabelle2!$A$4,(Tabelle1!I$2*(1+Tabelle1!I$2)^Tabelle1!$A10)/((1+Tabelle1!I$2)^Tabelle1!$A10-1)))))</f>
        <v>5.7466389437253023</v>
      </c>
      <c r="J10" s="11">
        <f>IF($B$1=Tabelle2!$A$1,(1+Tabelle1!J$2)^Tabelle1!$A10,IF($B$1=Tabelle2!$A$2,(1+Tabelle1!J$2)^(-Tabelle1!$A10),IF($B$1=Tabelle2!$A$3,((1+Tabelle1!J$2)^Tabelle1!$A10-1)/(Tabelle1!J$2*(1+Tabelle1!J$2)^Tabelle1!$A10),IF($B$1=Tabelle2!$A$4,(Tabelle1!J$2*(1+Tabelle1!J$2)^Tabelle1!$A10)/((1+Tabelle1!J$2)^Tabelle1!$A10-1)))))</f>
        <v>5.5348191147470214</v>
      </c>
      <c r="K10" s="11">
        <f>IF($B$1=Tabelle2!$A$1,(1+Tabelle1!K$2)^Tabelle1!$A10,IF($B$1=Tabelle2!$A$2,(1+Tabelle1!K$2)^(-Tabelle1!$A10),IF($B$1=Tabelle2!$A$3,((1+Tabelle1!K$2)^Tabelle1!$A10-1)/(Tabelle1!K$2*(1+Tabelle1!K$2)^Tabelle1!$A10),IF($B$1=Tabelle2!$A$4,(Tabelle1!K$2*(1+Tabelle1!K$2)^Tabelle1!$A10)/((1+Tabelle1!K$2)^Tabelle1!$A10-1)))))</f>
        <v>5.3349261979026679</v>
      </c>
      <c r="L10" s="11">
        <f>IF($B$1=Tabelle2!$A$1,(1+Tabelle1!L$2)^Tabelle1!$A10,IF($B$1=Tabelle2!$A$2,(1+Tabelle1!L$2)^(-Tabelle1!$A10),IF($B$1=Tabelle2!$A$3,((1+Tabelle1!L$2)^Tabelle1!$A10-1)/(Tabelle1!L$2*(1+Tabelle1!L$2)^Tabelle1!$A10),IF($B$1=Tabelle2!$A$4,(Tabelle1!L$2*(1+Tabelle1!L$2)^Tabelle1!$A10)/((1+Tabelle1!L$2)^Tabelle1!$A10-1)))))</f>
        <v>5.1461227609270841</v>
      </c>
      <c r="M10" s="11">
        <f>IF($B$1=Tabelle2!$A$1,(1+Tabelle1!M$2)^Tabelle1!$A10,IF($B$1=Tabelle2!$A$2,(1+Tabelle1!M$2)^(-Tabelle1!$A10),IF($B$1=Tabelle2!$A$3,((1+Tabelle1!M$2)^Tabelle1!$A10-1)/(Tabelle1!M$2*(1+Tabelle1!M$2)^Tabelle1!$A10),IF($B$1=Tabelle2!$A$4,(Tabelle1!M$2*(1+Tabelle1!M$2)^Tabelle1!$A10)/((1+Tabelle1!M$2)^Tabelle1!$A10-1)))))</f>
        <v>4.967639766838591</v>
      </c>
    </row>
    <row r="11" spans="1:13" x14ac:dyDescent="0.2">
      <c r="A11" s="6">
        <v>9</v>
      </c>
      <c r="B11" s="11">
        <f>IF($B$1=Tabelle2!$A$1,(1+Tabelle1!B$2)^Tabelle1!$A11,IF($B$1=Tabelle2!$A$2,(1+Tabelle1!B$2)^(-Tabelle1!$A11),IF($B$1=Tabelle2!$A$3,((1+Tabelle1!B$2)^Tabelle1!$A11-1)/(Tabelle1!B$2*(1+Tabelle1!B$2)^Tabelle1!$A11),IF($B$1=Tabelle2!$A$4,(Tabelle1!B$2*(1+Tabelle1!B$2)^Tabelle1!$A11)/((1+Tabelle1!B$2)^Tabelle1!$A11-1)))))</f>
        <v>8.5660175760087043</v>
      </c>
      <c r="C11" s="11">
        <f>IF($B$1=Tabelle2!$A$1,(1+Tabelle1!C$2)^Tabelle1!$A11,IF($B$1=Tabelle2!$A$2,(1+Tabelle1!C$2)^(-Tabelle1!$A11),IF($B$1=Tabelle2!$A$3,((1+Tabelle1!C$2)^Tabelle1!$A11-1)/(Tabelle1!C$2*(1+Tabelle1!C$2)^Tabelle1!$A11),IF($B$1=Tabelle2!$A$4,(Tabelle1!C$2*(1+Tabelle1!C$2)^Tabelle1!$A11)/((1+Tabelle1!C$2)^Tabelle1!$A11-1)))))</f>
        <v>8.1622367063670787</v>
      </c>
      <c r="D11" s="11">
        <f>IF($B$1=Tabelle2!$A$1,(1+Tabelle1!D$2)^Tabelle1!$A11,IF($B$1=Tabelle2!$A$2,(1+Tabelle1!D$2)^(-Tabelle1!$A11),IF($B$1=Tabelle2!$A$3,((1+Tabelle1!D$2)^Tabelle1!$A11-1)/(Tabelle1!D$2*(1+Tabelle1!D$2)^Tabelle1!$A11),IF($B$1=Tabelle2!$A$4,(Tabelle1!D$2*(1+Tabelle1!D$2)^Tabelle1!$A11)/((1+Tabelle1!D$2)^Tabelle1!$A11-1)))))</f>
        <v>7.7861089218791015</v>
      </c>
      <c r="E11" s="11">
        <f>IF($B$1=Tabelle2!$A$1,(1+Tabelle1!E$2)^Tabelle1!$A11,IF($B$1=Tabelle2!$A$2,(1+Tabelle1!E$2)^(-Tabelle1!$A11),IF($B$1=Tabelle2!$A$3,((1+Tabelle1!E$2)^Tabelle1!$A11-1)/(Tabelle1!E$2*(1+Tabelle1!E$2)^Tabelle1!$A11),IF($B$1=Tabelle2!$A$4,(Tabelle1!E$2*(1+Tabelle1!E$2)^Tabelle1!$A11)/((1+Tabelle1!E$2)^Tabelle1!$A11-1)))))</f>
        <v>7.4353316105292375</v>
      </c>
      <c r="F11" s="11">
        <f>IF($B$1=Tabelle2!$A$1,(1+Tabelle1!F$2)^Tabelle1!$A11,IF($B$1=Tabelle2!$A$2,(1+Tabelle1!F$2)^(-Tabelle1!$A11),IF($B$1=Tabelle2!$A$3,((1+Tabelle1!F$2)^Tabelle1!$A11-1)/(Tabelle1!F$2*(1+Tabelle1!F$2)^Tabelle1!$A11),IF($B$1=Tabelle2!$A$4,(Tabelle1!F$2*(1+Tabelle1!F$2)^Tabelle1!$A11)/((1+Tabelle1!F$2)^Tabelle1!$A11-1)))))</f>
        <v>7.107821675644054</v>
      </c>
      <c r="G11" s="11">
        <f>IF($B$1=Tabelle2!$A$1,(1+Tabelle1!G$2)^Tabelle1!$A11,IF($B$1=Tabelle2!$A$2,(1+Tabelle1!G$2)^(-Tabelle1!$A11),IF($B$1=Tabelle2!$A$3,((1+Tabelle1!G$2)^Tabelle1!$A11-1)/(Tabelle1!G$2*(1+Tabelle1!G$2)^Tabelle1!$A11),IF($B$1=Tabelle2!$A$4,(Tabelle1!G$2*(1+Tabelle1!G$2)^Tabelle1!$A11)/((1+Tabelle1!G$2)^Tabelle1!$A11-1)))))</f>
        <v>6.8016922744995831</v>
      </c>
      <c r="H11" s="11">
        <f>IF($B$1=Tabelle2!$A$1,(1+Tabelle1!H$2)^Tabelle1!$A11,IF($B$1=Tabelle2!$A$2,(1+Tabelle1!H$2)^(-Tabelle1!$A11),IF($B$1=Tabelle2!$A$3,((1+Tabelle1!H$2)^Tabelle1!$A11-1)/(Tabelle1!H$2*(1+Tabelle1!H$2)^Tabelle1!$A11),IF($B$1=Tabelle2!$A$4,(Tabelle1!H$2*(1+Tabelle1!H$2)^Tabelle1!$A11)/((1+Tabelle1!H$2)^Tabelle1!$A11-1)))))</f>
        <v>6.5152322487978847</v>
      </c>
      <c r="I11" s="11">
        <f>IF($B$1=Tabelle2!$A$1,(1+Tabelle1!I$2)^Tabelle1!$A11,IF($B$1=Tabelle2!$A$2,(1+Tabelle1!I$2)^(-Tabelle1!$A11),IF($B$1=Tabelle2!$A$3,((1+Tabelle1!I$2)^Tabelle1!$A11-1)/(Tabelle1!I$2*(1+Tabelle1!I$2)^Tabelle1!$A11),IF($B$1=Tabelle2!$A$4,(Tabelle1!I$2*(1+Tabelle1!I$2)^Tabelle1!$A11)/((1+Tabelle1!I$2)^Tabelle1!$A11-1)))))</f>
        <v>6.2468879108567625</v>
      </c>
      <c r="J11" s="11">
        <f>IF($B$1=Tabelle2!$A$1,(1+Tabelle1!J$2)^Tabelle1!$A11,IF($B$1=Tabelle2!$A$2,(1+Tabelle1!J$2)^(-Tabelle1!$A11),IF($B$1=Tabelle2!$A$3,((1+Tabelle1!J$2)^Tabelle1!$A11-1)/(Tabelle1!J$2*(1+Tabelle1!J$2)^Tabelle1!$A11),IF($B$1=Tabelle2!$A$4,(Tabelle1!J$2*(1+Tabelle1!J$2)^Tabelle1!$A11)/((1+Tabelle1!J$2)^Tabelle1!$A11-1)))))</f>
        <v>5.9952468942633228</v>
      </c>
      <c r="K11" s="11">
        <f>IF($B$1=Tabelle2!$A$1,(1+Tabelle1!K$2)^Tabelle1!$A11,IF($B$1=Tabelle2!$A$2,(1+Tabelle1!K$2)^(-Tabelle1!$A11),IF($B$1=Tabelle2!$A$3,((1+Tabelle1!K$2)^Tabelle1!$A11-1)/(Tabelle1!K$2*(1+Tabelle1!K$2)^Tabelle1!$A11),IF($B$1=Tabelle2!$A$4,(Tabelle1!K$2*(1+Tabelle1!K$2)^Tabelle1!$A11)/((1+Tabelle1!K$2)^Tabelle1!$A11-1)))))</f>
        <v>5.7590238162751533</v>
      </c>
      <c r="L11" s="11">
        <f>IF($B$1=Tabelle2!$A$1,(1+Tabelle1!L$2)^Tabelle1!$A11,IF($B$1=Tabelle2!$A$2,(1+Tabelle1!L$2)^(-Tabelle1!$A11),IF($B$1=Tabelle2!$A$3,((1+Tabelle1!L$2)^Tabelle1!$A11-1)/(Tabelle1!L$2*(1+Tabelle1!L$2)^Tabelle1!$A11),IF($B$1=Tabelle2!$A$4,(Tabelle1!L$2*(1+Tabelle1!L$2)^Tabelle1!$A11)/((1+Tabelle1!L$2)^Tabelle1!$A11-1)))))</f>
        <v>5.5370475323667421</v>
      </c>
      <c r="M11" s="11">
        <f>IF($B$1=Tabelle2!$A$1,(1+Tabelle1!M$2)^Tabelle1!$A11,IF($B$1=Tabelle2!$A$2,(1+Tabelle1!M$2)^(-Tabelle1!$A11),IF($B$1=Tabelle2!$A$3,((1+Tabelle1!M$2)^Tabelle1!$A11-1)/(Tabelle1!M$2*(1+Tabelle1!M$2)^Tabelle1!$A11),IF($B$1=Tabelle2!$A$4,(Tabelle1!M$2*(1+Tabelle1!M$2)^Tabelle1!$A11)/((1+Tabelle1!M$2)^Tabelle1!$A11-1)))))</f>
        <v>5.3282497918201699</v>
      </c>
    </row>
    <row r="12" spans="1:13" x14ac:dyDescent="0.2">
      <c r="A12" s="6">
        <v>10</v>
      </c>
      <c r="B12" s="11">
        <f>IF($B$1=Tabelle2!$A$1,(1+Tabelle1!B$2)^Tabelle1!$A12,IF($B$1=Tabelle2!$A$2,(1+Tabelle1!B$2)^(-Tabelle1!$A12),IF($B$1=Tabelle2!$A$3,((1+Tabelle1!B$2)^Tabelle1!$A12-1)/(Tabelle1!B$2*(1+Tabelle1!B$2)^Tabelle1!$A12),IF($B$1=Tabelle2!$A$4,(Tabelle1!B$2*(1+Tabelle1!B$2)^Tabelle1!$A12)/((1+Tabelle1!B$2)^Tabelle1!$A12-1)))))</f>
        <v>9.4713045307016905</v>
      </c>
      <c r="C12" s="11">
        <f>IF($B$1=Tabelle2!$A$1,(1+Tabelle1!C$2)^Tabelle1!$A12,IF($B$1=Tabelle2!$A$2,(1+Tabelle1!C$2)^(-Tabelle1!$A12),IF($B$1=Tabelle2!$A$3,((1+Tabelle1!C$2)^Tabelle1!$A12-1)/(Tabelle1!C$2*(1+Tabelle1!C$2)^Tabelle1!$A12),IF($B$1=Tabelle2!$A$4,(Tabelle1!C$2*(1+Tabelle1!C$2)^Tabelle1!$A12)/((1+Tabelle1!C$2)^Tabelle1!$A12-1)))))</f>
        <v>8.9825850062422354</v>
      </c>
      <c r="D12" s="11">
        <f>IF($B$1=Tabelle2!$A$1,(1+Tabelle1!D$2)^Tabelle1!$A12,IF($B$1=Tabelle2!$A$2,(1+Tabelle1!D$2)^(-Tabelle1!$A12),IF($B$1=Tabelle2!$A$3,((1+Tabelle1!D$2)^Tabelle1!$A12-1)/(Tabelle1!D$2*(1+Tabelle1!D$2)^Tabelle1!$A12),IF($B$1=Tabelle2!$A$4,(Tabelle1!D$2*(1+Tabelle1!D$2)^Tabelle1!$A12)/((1+Tabelle1!D$2)^Tabelle1!$A12-1)))))</f>
        <v>8.5302028367758282</v>
      </c>
      <c r="E12" s="11">
        <f>IF($B$1=Tabelle2!$A$1,(1+Tabelle1!E$2)^Tabelle1!$A12,IF($B$1=Tabelle2!$A$2,(1+Tabelle1!E$2)^(-Tabelle1!$A12),IF($B$1=Tabelle2!$A$3,((1+Tabelle1!E$2)^Tabelle1!$A12-1)/(Tabelle1!E$2*(1+Tabelle1!E$2)^Tabelle1!$A12),IF($B$1=Tabelle2!$A$4,(Tabelle1!E$2*(1+Tabelle1!E$2)^Tabelle1!$A12)/((1+Tabelle1!E$2)^Tabelle1!$A12-1)))))</f>
        <v>8.1108957793550349</v>
      </c>
      <c r="F12" s="11">
        <f>IF($B$1=Tabelle2!$A$1,(1+Tabelle1!F$2)^Tabelle1!$A12,IF($B$1=Tabelle2!$A$2,(1+Tabelle1!F$2)^(-Tabelle1!$A12),IF($B$1=Tabelle2!$A$3,((1+Tabelle1!F$2)^Tabelle1!$A12-1)/(Tabelle1!F$2*(1+Tabelle1!F$2)^Tabelle1!$A12),IF($B$1=Tabelle2!$A$4,(Tabelle1!F$2*(1+Tabelle1!F$2)^Tabelle1!$A12)/((1+Tabelle1!F$2)^Tabelle1!$A12-1)))))</f>
        <v>7.7217349291848123</v>
      </c>
      <c r="G12" s="11">
        <f>IF($B$1=Tabelle2!$A$1,(1+Tabelle1!G$2)^Tabelle1!$A12,IF($B$1=Tabelle2!$A$2,(1+Tabelle1!G$2)^(-Tabelle1!$A12),IF($B$1=Tabelle2!$A$3,((1+Tabelle1!G$2)^Tabelle1!$A12-1)/(Tabelle1!G$2*(1+Tabelle1!G$2)^Tabelle1!$A12),IF($B$1=Tabelle2!$A$4,(Tabelle1!G$2*(1+Tabelle1!G$2)^Tabelle1!$A12)/((1+Tabelle1!G$2)^Tabelle1!$A12-1)))))</f>
        <v>7.3600870514147028</v>
      </c>
      <c r="H12" s="11">
        <f>IF($B$1=Tabelle2!$A$1,(1+Tabelle1!H$2)^Tabelle1!$A12,IF($B$1=Tabelle2!$A$2,(1+Tabelle1!H$2)^(-Tabelle1!$A12),IF($B$1=Tabelle2!$A$3,((1+Tabelle1!H$2)^Tabelle1!$A12-1)/(Tabelle1!H$2*(1+Tabelle1!H$2)^Tabelle1!$A12),IF($B$1=Tabelle2!$A$4,(Tabelle1!H$2*(1+Tabelle1!H$2)^Tabelle1!$A12)/((1+Tabelle1!H$2)^Tabelle1!$A12-1)))))</f>
        <v>7.0235815409326028</v>
      </c>
      <c r="I12" s="11">
        <f>IF($B$1=Tabelle2!$A$1,(1+Tabelle1!I$2)^Tabelle1!$A12,IF($B$1=Tabelle2!$A$2,(1+Tabelle1!I$2)^(-Tabelle1!$A12),IF($B$1=Tabelle2!$A$3,((1+Tabelle1!I$2)^Tabelle1!$A12-1)/(Tabelle1!I$2*(1+Tabelle1!I$2)^Tabelle1!$A12),IF($B$1=Tabelle2!$A$4,(Tabelle1!I$2*(1+Tabelle1!I$2)^Tabelle1!$A12)/((1+Tabelle1!I$2)^Tabelle1!$A12-1)))))</f>
        <v>6.7100813989414467</v>
      </c>
      <c r="J12" s="11">
        <f>IF($B$1=Tabelle2!$A$1,(1+Tabelle1!J$2)^Tabelle1!$A12,IF($B$1=Tabelle2!$A$2,(1+Tabelle1!J$2)^(-Tabelle1!$A12),IF($B$1=Tabelle2!$A$3,((1+Tabelle1!J$2)^Tabelle1!$A12-1)/(Tabelle1!J$2*(1+Tabelle1!J$2)^Tabelle1!$A12),IF($B$1=Tabelle2!$A$4,(Tabelle1!J$2*(1+Tabelle1!J$2)^Tabelle1!$A12)/((1+Tabelle1!J$2)^Tabelle1!$A12-1)))))</f>
        <v>6.4176577011590119</v>
      </c>
      <c r="K12" s="11">
        <f>IF($B$1=Tabelle2!$A$1,(1+Tabelle1!K$2)^Tabelle1!$A12,IF($B$1=Tabelle2!$A$2,(1+Tabelle1!K$2)^(-Tabelle1!$A12),IF($B$1=Tabelle2!$A$3,((1+Tabelle1!K$2)^Tabelle1!$A12-1)/(Tabelle1!K$2*(1+Tabelle1!K$2)^Tabelle1!$A12),IF($B$1=Tabelle2!$A$4,(Tabelle1!K$2*(1+Tabelle1!K$2)^Tabelle1!$A12)/((1+Tabelle1!K$2)^Tabelle1!$A12-1)))))</f>
        <v>6.1445671057046853</v>
      </c>
      <c r="L12" s="11">
        <f>IF($B$1=Tabelle2!$A$1,(1+Tabelle1!L$2)^Tabelle1!$A12,IF($B$1=Tabelle2!$A$2,(1+Tabelle1!L$2)^(-Tabelle1!$A12),IF($B$1=Tabelle2!$A$3,((1+Tabelle1!L$2)^Tabelle1!$A12-1)/(Tabelle1!L$2*(1+Tabelle1!L$2)^Tabelle1!$A12),IF($B$1=Tabelle2!$A$4,(Tabelle1!L$2*(1+Tabelle1!L$2)^Tabelle1!$A12)/((1+Tabelle1!L$2)^Tabelle1!$A12-1)))))</f>
        <v>5.8892320111412104</v>
      </c>
      <c r="M12" s="11">
        <f>IF($B$1=Tabelle2!$A$1,(1+Tabelle1!M$2)^Tabelle1!$A12,IF($B$1=Tabelle2!$A$2,(1+Tabelle1!M$2)^(-Tabelle1!$A12),IF($B$1=Tabelle2!$A$3,((1+Tabelle1!M$2)^Tabelle1!$A12-1)/(Tabelle1!M$2*(1+Tabelle1!M$2)^Tabelle1!$A12),IF($B$1=Tabelle2!$A$4,(Tabelle1!M$2*(1+Tabelle1!M$2)^Tabelle1!$A12)/((1+Tabelle1!M$2)^Tabelle1!$A12-1)))))</f>
        <v>5.6502230284108661</v>
      </c>
    </row>
    <row r="13" spans="1:13" x14ac:dyDescent="0.2">
      <c r="A13" s="6">
        <v>15</v>
      </c>
      <c r="B13" s="11">
        <f>IF($B$1=Tabelle2!$A$1,(1+Tabelle1!B$2)^Tabelle1!$A13,IF($B$1=Tabelle2!$A$2,(1+Tabelle1!B$2)^(-Tabelle1!$A13),IF($B$1=Tabelle2!$A$3,((1+Tabelle1!B$2)^Tabelle1!$A13-1)/(Tabelle1!B$2*(1+Tabelle1!B$2)^Tabelle1!$A13),IF($B$1=Tabelle2!$A$4,(Tabelle1!B$2*(1+Tabelle1!B$2)^Tabelle1!$A13)/((1+Tabelle1!B$2)^Tabelle1!$A13-1)))))</f>
        <v>13.865052517162095</v>
      </c>
      <c r="C13" s="11">
        <f>IF($B$1=Tabelle2!$A$1,(1+Tabelle1!C$2)^Tabelle1!$A13,IF($B$1=Tabelle2!$A$2,(1+Tabelle1!C$2)^(-Tabelle1!$A13),IF($B$1=Tabelle2!$A$3,((1+Tabelle1!C$2)^Tabelle1!$A13-1)/(Tabelle1!C$2*(1+Tabelle1!C$2)^Tabelle1!$A13),IF($B$1=Tabelle2!$A$4,(Tabelle1!C$2*(1+Tabelle1!C$2)^Tabelle1!$A13)/((1+Tabelle1!C$2)^Tabelle1!$A13-1)))))</f>
        <v>12.849263500574036</v>
      </c>
      <c r="D13" s="11">
        <f>IF($B$1=Tabelle2!$A$1,(1+Tabelle1!D$2)^Tabelle1!$A13,IF($B$1=Tabelle2!$A$2,(1+Tabelle1!D$2)^(-Tabelle1!$A13),IF($B$1=Tabelle2!$A$3,((1+Tabelle1!D$2)^Tabelle1!$A13-1)/(Tabelle1!D$2*(1+Tabelle1!D$2)^Tabelle1!$A13),IF($B$1=Tabelle2!$A$4,(Tabelle1!D$2*(1+Tabelle1!D$2)^Tabelle1!$A13)/((1+Tabelle1!D$2)^Tabelle1!$A13-1)))))</f>
        <v>11.937935086776077</v>
      </c>
      <c r="E13" s="11">
        <f>IF($B$1=Tabelle2!$A$1,(1+Tabelle1!E$2)^Tabelle1!$A13,IF($B$1=Tabelle2!$A$2,(1+Tabelle1!E$2)^(-Tabelle1!$A13),IF($B$1=Tabelle2!$A$3,((1+Tabelle1!E$2)^Tabelle1!$A13-1)/(Tabelle1!E$2*(1+Tabelle1!E$2)^Tabelle1!$A13),IF($B$1=Tabelle2!$A$4,(Tabelle1!E$2*(1+Tabelle1!E$2)^Tabelle1!$A13)/((1+Tabelle1!E$2)^Tabelle1!$A13-1)))))</f>
        <v>11.118387432168129</v>
      </c>
      <c r="F13" s="11">
        <f>IF($B$1=Tabelle2!$A$1,(1+Tabelle1!F$2)^Tabelle1!$A13,IF($B$1=Tabelle2!$A$2,(1+Tabelle1!F$2)^(-Tabelle1!$A13),IF($B$1=Tabelle2!$A$3,((1+Tabelle1!F$2)^Tabelle1!$A13-1)/(Tabelle1!F$2*(1+Tabelle1!F$2)^Tabelle1!$A13),IF($B$1=Tabelle2!$A$4,(Tabelle1!F$2*(1+Tabelle1!F$2)^Tabelle1!$A13)/((1+Tabelle1!F$2)^Tabelle1!$A13-1)))))</f>
        <v>10.379658038180596</v>
      </c>
      <c r="G13" s="11">
        <f>IF($B$1=Tabelle2!$A$1,(1+Tabelle1!G$2)^Tabelle1!$A13,IF($B$1=Tabelle2!$A$2,(1+Tabelle1!G$2)^(-Tabelle1!$A13),IF($B$1=Tabelle2!$A$3,((1+Tabelle1!G$2)^Tabelle1!$A13-1)/(Tabelle1!G$2*(1+Tabelle1!G$2)^Tabelle1!$A13),IF($B$1=Tabelle2!$A$4,(Tabelle1!G$2*(1+Tabelle1!G$2)^Tabelle1!$A13)/((1+Tabelle1!G$2)^Tabelle1!$A13-1)))))</f>
        <v>9.7122489877409954</v>
      </c>
      <c r="H13" s="11">
        <f>IF($B$1=Tabelle2!$A$1,(1+Tabelle1!H$2)^Tabelle1!$A13,IF($B$1=Tabelle2!$A$2,(1+Tabelle1!H$2)^(-Tabelle1!$A13),IF($B$1=Tabelle2!$A$3,((1+Tabelle1!H$2)^Tabelle1!$A13-1)/(Tabelle1!H$2*(1+Tabelle1!H$2)^Tabelle1!$A13),IF($B$1=Tabelle2!$A$4,(Tabelle1!H$2*(1+Tabelle1!H$2)^Tabelle1!$A13)/((1+Tabelle1!H$2)^Tabelle1!$A13-1)))))</f>
        <v>9.1079140051091478</v>
      </c>
      <c r="I13" s="11">
        <f>IF($B$1=Tabelle2!$A$1,(1+Tabelle1!I$2)^Tabelle1!$A13,IF($B$1=Tabelle2!$A$2,(1+Tabelle1!I$2)^(-Tabelle1!$A13),IF($B$1=Tabelle2!$A$3,((1+Tabelle1!I$2)^Tabelle1!$A13-1)/(Tabelle1!I$2*(1+Tabelle1!I$2)^Tabelle1!$A13),IF($B$1=Tabelle2!$A$4,(Tabelle1!I$2*(1+Tabelle1!I$2)^Tabelle1!$A13)/((1+Tabelle1!I$2)^Tabelle1!$A13-1)))))</f>
        <v>8.5594786879263758</v>
      </c>
      <c r="J13" s="11">
        <f>IF($B$1=Tabelle2!$A$1,(1+Tabelle1!J$2)^Tabelle1!$A13,IF($B$1=Tabelle2!$A$2,(1+Tabelle1!J$2)^(-Tabelle1!$A13),IF($B$1=Tabelle2!$A$3,((1+Tabelle1!J$2)^Tabelle1!$A13-1)/(Tabelle1!J$2*(1+Tabelle1!J$2)^Tabelle1!$A13),IF($B$1=Tabelle2!$A$4,(Tabelle1!J$2*(1+Tabelle1!J$2)^Tabelle1!$A13)/((1+Tabelle1!J$2)^Tabelle1!$A13-1)))))</f>
        <v>8.0606884298542472</v>
      </c>
      <c r="K13" s="11">
        <f>IF($B$1=Tabelle2!$A$1,(1+Tabelle1!K$2)^Tabelle1!$A13,IF($B$1=Tabelle2!$A$2,(1+Tabelle1!K$2)^(-Tabelle1!$A13),IF($B$1=Tabelle2!$A$3,((1+Tabelle1!K$2)^Tabelle1!$A13-1)/(Tabelle1!K$2*(1+Tabelle1!K$2)^Tabelle1!$A13),IF($B$1=Tabelle2!$A$4,(Tabelle1!K$2*(1+Tabelle1!K$2)^Tabelle1!$A13)/((1+Tabelle1!K$2)^Tabelle1!$A13-1)))))</f>
        <v>7.6060795063083662</v>
      </c>
      <c r="L13" s="11">
        <f>IF($B$1=Tabelle2!$A$1,(1+Tabelle1!L$2)^Tabelle1!$A13,IF($B$1=Tabelle2!$A$2,(1+Tabelle1!L$2)^(-Tabelle1!$A13),IF($B$1=Tabelle2!$A$3,((1+Tabelle1!L$2)^Tabelle1!$A13-1)/(Tabelle1!L$2*(1+Tabelle1!L$2)^Tabelle1!$A13),IF($B$1=Tabelle2!$A$4,(Tabelle1!L$2*(1+Tabelle1!L$2)^Tabelle1!$A13)/((1+Tabelle1!L$2)^Tabelle1!$A13-1)))))</f>
        <v>7.1908695759061931</v>
      </c>
      <c r="M13" s="11">
        <f>IF($B$1=Tabelle2!$A$1,(1+Tabelle1!M$2)^Tabelle1!$A13,IF($B$1=Tabelle2!$A$2,(1+Tabelle1!M$2)^(-Tabelle1!$A13),IF($B$1=Tabelle2!$A$3,((1+Tabelle1!M$2)^Tabelle1!$A13-1)/(Tabelle1!M$2*(1+Tabelle1!M$2)^Tabelle1!$A13),IF($B$1=Tabelle2!$A$4,(Tabelle1!M$2*(1+Tabelle1!M$2)^Tabelle1!$A13)/((1+Tabelle1!M$2)^Tabelle1!$A13-1)))))</f>
        <v>6.8108644894650059</v>
      </c>
    </row>
    <row r="14" spans="1:13" x14ac:dyDescent="0.2">
      <c r="A14" s="6">
        <v>20</v>
      </c>
      <c r="B14" s="11">
        <f>IF($B$1=Tabelle2!$A$1,(1+Tabelle1!B$2)^Tabelle1!$A14,IF($B$1=Tabelle2!$A$2,(1+Tabelle1!B$2)^(-Tabelle1!$A14),IF($B$1=Tabelle2!$A$3,((1+Tabelle1!B$2)^Tabelle1!$A14-1)/(Tabelle1!B$2*(1+Tabelle1!B$2)^Tabelle1!$A14),IF($B$1=Tabelle2!$A$4,(Tabelle1!B$2*(1+Tabelle1!B$2)^Tabelle1!$A14)/((1+Tabelle1!B$2)^Tabelle1!$A14-1)))))</f>
        <v>18.045552966270456</v>
      </c>
      <c r="C14" s="11">
        <f>IF($B$1=Tabelle2!$A$1,(1+Tabelle1!C$2)^Tabelle1!$A14,IF($B$1=Tabelle2!$A$2,(1+Tabelle1!C$2)^(-Tabelle1!$A14),IF($B$1=Tabelle2!$A$3,((1+Tabelle1!C$2)^Tabelle1!$A14-1)/(Tabelle1!C$2*(1+Tabelle1!C$2)^Tabelle1!$A14),IF($B$1=Tabelle2!$A$4,(Tabelle1!C$2*(1+Tabelle1!C$2)^Tabelle1!$A14)/((1+Tabelle1!C$2)^Tabelle1!$A14-1)))))</f>
        <v>16.351433344597112</v>
      </c>
      <c r="D14" s="11">
        <f>IF($B$1=Tabelle2!$A$1,(1+Tabelle1!D$2)^Tabelle1!$A14,IF($B$1=Tabelle2!$A$2,(1+Tabelle1!D$2)^(-Tabelle1!$A14),IF($B$1=Tabelle2!$A$3,((1+Tabelle1!D$2)^Tabelle1!$A14-1)/(Tabelle1!D$2*(1+Tabelle1!D$2)^Tabelle1!$A14),IF($B$1=Tabelle2!$A$4,(Tabelle1!D$2*(1+Tabelle1!D$2)^Tabelle1!$A14)/((1+Tabelle1!D$2)^Tabelle1!$A14-1)))))</f>
        <v>14.877474860455502</v>
      </c>
      <c r="E14" s="11">
        <f>IF($B$1=Tabelle2!$A$1,(1+Tabelle1!E$2)^Tabelle1!$A14,IF($B$1=Tabelle2!$A$2,(1+Tabelle1!E$2)^(-Tabelle1!$A14),IF($B$1=Tabelle2!$A$3,((1+Tabelle1!E$2)^Tabelle1!$A14-1)/(Tabelle1!E$2*(1+Tabelle1!E$2)^Tabelle1!$A14),IF($B$1=Tabelle2!$A$4,(Tabelle1!E$2*(1+Tabelle1!E$2)^Tabelle1!$A14)/((1+Tabelle1!E$2)^Tabelle1!$A14-1)))))</f>
        <v>13.590326344967698</v>
      </c>
      <c r="F14" s="11">
        <f>IF($B$1=Tabelle2!$A$1,(1+Tabelle1!F$2)^Tabelle1!$A14,IF($B$1=Tabelle2!$A$2,(1+Tabelle1!F$2)^(-Tabelle1!$A14),IF($B$1=Tabelle2!$A$3,((1+Tabelle1!F$2)^Tabelle1!$A14-1)/(Tabelle1!F$2*(1+Tabelle1!F$2)^Tabelle1!$A14),IF($B$1=Tabelle2!$A$4,(Tabelle1!F$2*(1+Tabelle1!F$2)^Tabelle1!$A14)/((1+Tabelle1!F$2)^Tabelle1!$A14-1)))))</f>
        <v>12.462210342539986</v>
      </c>
      <c r="G14" s="11">
        <f>IF($B$1=Tabelle2!$A$1,(1+Tabelle1!G$2)^Tabelle1!$A14,IF($B$1=Tabelle2!$A$2,(1+Tabelle1!G$2)^(-Tabelle1!$A14),IF($B$1=Tabelle2!$A$3,((1+Tabelle1!G$2)^Tabelle1!$A14-1)/(Tabelle1!G$2*(1+Tabelle1!G$2)^Tabelle1!$A14),IF($B$1=Tabelle2!$A$4,(Tabelle1!G$2*(1+Tabelle1!G$2)^Tabelle1!$A14)/((1+Tabelle1!G$2)^Tabelle1!$A14-1)))))</f>
        <v>11.469921218565263</v>
      </c>
      <c r="H14" s="11">
        <f>IF($B$1=Tabelle2!$A$1,(1+Tabelle1!H$2)^Tabelle1!$A14,IF($B$1=Tabelle2!$A$2,(1+Tabelle1!H$2)^(-Tabelle1!$A14),IF($B$1=Tabelle2!$A$3,((1+Tabelle1!H$2)^Tabelle1!$A14-1)/(Tabelle1!H$2*(1+Tabelle1!H$2)^Tabelle1!$A14),IF($B$1=Tabelle2!$A$4,(Tabelle1!H$2*(1+Tabelle1!H$2)^Tabelle1!$A14)/((1+Tabelle1!H$2)^Tabelle1!$A14-1)))))</f>
        <v>10.59401424551616</v>
      </c>
      <c r="I14" s="11">
        <f>IF($B$1=Tabelle2!$A$1,(1+Tabelle1!I$2)^Tabelle1!$A14,IF($B$1=Tabelle2!$A$2,(1+Tabelle1!I$2)^(-Tabelle1!$A14),IF($B$1=Tabelle2!$A$3,((1+Tabelle1!I$2)^Tabelle1!$A14-1)/(Tabelle1!I$2*(1+Tabelle1!I$2)^Tabelle1!$A14),IF($B$1=Tabelle2!$A$4,(Tabelle1!I$2*(1+Tabelle1!I$2)^Tabelle1!$A14)/((1+Tabelle1!I$2)^Tabelle1!$A14-1)))))</f>
        <v>9.8181474074492936</v>
      </c>
      <c r="J14" s="11">
        <f>IF($B$1=Tabelle2!$A$1,(1+Tabelle1!J$2)^Tabelle1!$A14,IF($B$1=Tabelle2!$A$2,(1+Tabelle1!J$2)^(-Tabelle1!$A14),IF($B$1=Tabelle2!$A$3,((1+Tabelle1!J$2)^Tabelle1!$A14-1)/(Tabelle1!J$2*(1+Tabelle1!J$2)^Tabelle1!$A14),IF($B$1=Tabelle2!$A$4,(Tabelle1!J$2*(1+Tabelle1!J$2)^Tabelle1!$A14)/((1+Tabelle1!J$2)^Tabelle1!$A14-1)))))</f>
        <v>9.1285456690859235</v>
      </c>
      <c r="K14" s="11">
        <f>IF($B$1=Tabelle2!$A$1,(1+Tabelle1!K$2)^Tabelle1!$A14,IF($B$1=Tabelle2!$A$2,(1+Tabelle1!K$2)^(-Tabelle1!$A14),IF($B$1=Tabelle2!$A$3,((1+Tabelle1!K$2)^Tabelle1!$A14-1)/(Tabelle1!K$2*(1+Tabelle1!K$2)^Tabelle1!$A14),IF($B$1=Tabelle2!$A$4,(Tabelle1!K$2*(1+Tabelle1!K$2)^Tabelle1!$A14)/((1+Tabelle1!K$2)^Tabelle1!$A14-1)))))</f>
        <v>8.5135637197585652</v>
      </c>
      <c r="L14" s="11">
        <f>IF($B$1=Tabelle2!$A$1,(1+Tabelle1!L$2)^Tabelle1!$A14,IF($B$1=Tabelle2!$A$2,(1+Tabelle1!L$2)^(-Tabelle1!$A14),IF($B$1=Tabelle2!$A$3,((1+Tabelle1!L$2)^Tabelle1!$A14-1)/(Tabelle1!L$2*(1+Tabelle1!L$2)^Tabelle1!$A14),IF($B$1=Tabelle2!$A$4,(Tabelle1!L$2*(1+Tabelle1!L$2)^Tabelle1!$A14)/((1+Tabelle1!L$2)^Tabelle1!$A14-1)))))</f>
        <v>7.9633281173668822</v>
      </c>
      <c r="M14" s="11">
        <f>IF($B$1=Tabelle2!$A$1,(1+Tabelle1!M$2)^Tabelle1!$A14,IF($B$1=Tabelle2!$A$2,(1+Tabelle1!M$2)^(-Tabelle1!$A14),IF($B$1=Tabelle2!$A$3,((1+Tabelle1!M$2)^Tabelle1!$A14-1)/(Tabelle1!M$2*(1+Tabelle1!M$2)^Tabelle1!$A14),IF($B$1=Tabelle2!$A$4,(Tabelle1!M$2*(1+Tabelle1!M$2)^Tabelle1!$A14)/((1+Tabelle1!M$2)^Tabelle1!$A14-1)))))</f>
        <v>7.4694436243275968</v>
      </c>
    </row>
    <row r="15" spans="1:13" ht="17" thickBot="1" x14ac:dyDescent="0.25">
      <c r="A15" s="7">
        <v>25</v>
      </c>
      <c r="B15" s="11">
        <f>IF($B$1=Tabelle2!$A$1,(1+Tabelle1!B$2)^Tabelle1!$A15,IF($B$1=Tabelle2!$A$2,(1+Tabelle1!B$2)^(-Tabelle1!$A15),IF($B$1=Tabelle2!$A$3,((1+Tabelle1!B$2)^Tabelle1!$A15-1)/(Tabelle1!B$2*(1+Tabelle1!B$2)^Tabelle1!$A15),IF($B$1=Tabelle2!$A$4,(Tabelle1!B$2*(1+Tabelle1!B$2)^Tabelle1!$A15)/((1+Tabelle1!B$2)^Tabelle1!$A15-1)))))</f>
        <v>22.023155700621672</v>
      </c>
      <c r="C15" s="11">
        <f>IF($B$1=Tabelle2!$A$1,(1+Tabelle1!C$2)^Tabelle1!$A15,IF($B$1=Tabelle2!$A$2,(1+Tabelle1!C$2)^(-Tabelle1!$A15),IF($B$1=Tabelle2!$A$3,((1+Tabelle1!C$2)^Tabelle1!$A15-1)/(Tabelle1!C$2*(1+Tabelle1!C$2)^Tabelle1!$A15),IF($B$1=Tabelle2!$A$4,(Tabelle1!C$2*(1+Tabelle1!C$2)^Tabelle1!$A15)/((1+Tabelle1!C$2)^Tabelle1!$A15-1)))))</f>
        <v>19.523456473586034</v>
      </c>
      <c r="D15" s="11">
        <f>IF($B$1=Tabelle2!$A$1,(1+Tabelle1!D$2)^Tabelle1!$A15,IF($B$1=Tabelle2!$A$2,(1+Tabelle1!D$2)^(-Tabelle1!$A15),IF($B$1=Tabelle2!$A$3,((1+Tabelle1!D$2)^Tabelle1!$A15-1)/(Tabelle1!D$2*(1+Tabelle1!D$2)^Tabelle1!$A15),IF($B$1=Tabelle2!$A$4,(Tabelle1!D$2*(1+Tabelle1!D$2)^Tabelle1!$A15)/((1+Tabelle1!D$2)^Tabelle1!$A15-1)))))</f>
        <v>17.413147691278013</v>
      </c>
      <c r="E15" s="11">
        <f>IF($B$1=Tabelle2!$A$1,(1+Tabelle1!E$2)^Tabelle1!$A15,IF($B$1=Tabelle2!$A$2,(1+Tabelle1!E$2)^(-Tabelle1!$A15),IF($B$1=Tabelle2!$A$3,((1+Tabelle1!E$2)^Tabelle1!$A15-1)/(Tabelle1!E$2*(1+Tabelle1!E$2)^Tabelle1!$A15),IF($B$1=Tabelle2!$A$4,(Tabelle1!E$2*(1+Tabelle1!E$2)^Tabelle1!$A15)/((1+Tabelle1!E$2)^Tabelle1!$A15-1)))))</f>
        <v>15.622079943650904</v>
      </c>
      <c r="F15" s="11">
        <f>IF($B$1=Tabelle2!$A$1,(1+Tabelle1!F$2)^Tabelle1!$A15,IF($B$1=Tabelle2!$A$2,(1+Tabelle1!F$2)^(-Tabelle1!$A15),IF($B$1=Tabelle2!$A$3,((1+Tabelle1!F$2)^Tabelle1!$A15-1)/(Tabelle1!F$2*(1+Tabelle1!F$2)^Tabelle1!$A15),IF($B$1=Tabelle2!$A$4,(Tabelle1!F$2*(1+Tabelle1!F$2)^Tabelle1!$A15)/((1+Tabelle1!F$2)^Tabelle1!$A15-1)))))</f>
        <v>14.093944566044758</v>
      </c>
      <c r="G15" s="11">
        <f>IF($B$1=Tabelle2!$A$1,(1+Tabelle1!G$2)^Tabelle1!$A15,IF($B$1=Tabelle2!$A$2,(1+Tabelle1!G$2)^(-Tabelle1!$A15),IF($B$1=Tabelle2!$A$3,((1+Tabelle1!G$2)^Tabelle1!$A15-1)/(Tabelle1!G$2*(1+Tabelle1!G$2)^Tabelle1!$A15),IF($B$1=Tabelle2!$A$4,(Tabelle1!G$2*(1+Tabelle1!G$2)^Tabelle1!$A15)/((1+Tabelle1!G$2)^Tabelle1!$A15-1)))))</f>
        <v>12.783356158268411</v>
      </c>
      <c r="H15" s="11">
        <f>IF($B$1=Tabelle2!$A$1,(1+Tabelle1!H$2)^Tabelle1!$A15,IF($B$1=Tabelle2!$A$2,(1+Tabelle1!H$2)^(-Tabelle1!$A15),IF($B$1=Tabelle2!$A$3,((1+Tabelle1!H$2)^Tabelle1!$A15-1)/(Tabelle1!H$2*(1+Tabelle1!H$2)^Tabelle1!$A15),IF($B$1=Tabelle2!$A$4,(Tabelle1!H$2*(1+Tabelle1!H$2)^Tabelle1!$A15)/((1+Tabelle1!H$2)^Tabelle1!$A15-1)))))</f>
        <v>11.65358317825372</v>
      </c>
      <c r="I15" s="11">
        <f>IF($B$1=Tabelle2!$A$1,(1+Tabelle1!I$2)^Tabelle1!$A15,IF($B$1=Tabelle2!$A$2,(1+Tabelle1!I$2)^(-Tabelle1!$A15),IF($B$1=Tabelle2!$A$3,((1+Tabelle1!I$2)^Tabelle1!$A15-1)/(Tabelle1!I$2*(1+Tabelle1!I$2)^Tabelle1!$A15),IF($B$1=Tabelle2!$A$4,(Tabelle1!I$2*(1+Tabelle1!I$2)^Tabelle1!$A15)/((1+Tabelle1!I$2)^Tabelle1!$A15-1)))))</f>
        <v>10.674776188588581</v>
      </c>
      <c r="J15" s="11">
        <f>IF($B$1=Tabelle2!$A$1,(1+Tabelle1!J$2)^Tabelle1!$A15,IF($B$1=Tabelle2!$A$2,(1+Tabelle1!J$2)^(-Tabelle1!$A15),IF($B$1=Tabelle2!$A$3,((1+Tabelle1!J$2)^Tabelle1!$A15-1)/(Tabelle1!J$2*(1+Tabelle1!J$2)^Tabelle1!$A15),IF($B$1=Tabelle2!$A$4,(Tabelle1!J$2*(1+Tabelle1!J$2)^Tabelle1!$A15)/((1+Tabelle1!J$2)^Tabelle1!$A15-1)))))</f>
        <v>9.8225796049484888</v>
      </c>
      <c r="K15" s="11">
        <f>IF($B$1=Tabelle2!$A$1,(1+Tabelle1!K$2)^Tabelle1!$A15,IF($B$1=Tabelle2!$A$2,(1+Tabelle1!K$2)^(-Tabelle1!$A15),IF($B$1=Tabelle2!$A$3,((1+Tabelle1!K$2)^Tabelle1!$A15-1)/(Tabelle1!K$2*(1+Tabelle1!K$2)^Tabelle1!$A15),IF($B$1=Tabelle2!$A$4,(Tabelle1!K$2*(1+Tabelle1!K$2)^Tabelle1!$A15)/((1+Tabelle1!K$2)^Tabelle1!$A15-1)))))</f>
        <v>9.0770400182293596</v>
      </c>
      <c r="L15" s="11">
        <f>IF($B$1=Tabelle2!$A$1,(1+Tabelle1!L$2)^Tabelle1!$A15,IF($B$1=Tabelle2!$A$2,(1+Tabelle1!L$2)^(-Tabelle1!$A15),IF($B$1=Tabelle2!$A$3,((1+Tabelle1!L$2)^Tabelle1!$A15-1)/(Tabelle1!L$2*(1+Tabelle1!L$2)^Tabelle1!$A15),IF($B$1=Tabelle2!$A$4,(Tabelle1!L$2*(1+Tabelle1!L$2)^Tabelle1!$A15)/((1+Tabelle1!L$2)^Tabelle1!$A15-1)))))</f>
        <v>8.421744664666905</v>
      </c>
      <c r="M15" s="11">
        <f>IF($B$1=Tabelle2!$A$1,(1+Tabelle1!M$2)^Tabelle1!$A15,IF($B$1=Tabelle2!$A$2,(1+Tabelle1!M$2)^(-Tabelle1!$A15),IF($B$1=Tabelle2!$A$3,((1+Tabelle1!M$2)^Tabelle1!$A15-1)/(Tabelle1!M$2*(1+Tabelle1!M$2)^Tabelle1!$A15),IF($B$1=Tabelle2!$A$4,(Tabelle1!M$2*(1+Tabelle1!M$2)^Tabelle1!$A15)/((1+Tabelle1!M$2)^Tabelle1!$A15-1)))))</f>
        <v>7.8431391120645539</v>
      </c>
    </row>
    <row r="17" spans="1:13" x14ac:dyDescent="0.2">
      <c r="A17" s="14" t="str">
        <f>VLOOKUP($B$1,Tabelle2!$A$1:$B$4,2,FALSE)</f>
        <v>Welchen Gegenwarts- oder Barwert hat eine n Jahre lang (nachschüssig) gezahlte gleichbleibende jährliche Rente von 1 GE?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</sheetData>
  <mergeCells count="2">
    <mergeCell ref="B1:M1"/>
    <mergeCell ref="A17:M17"/>
  </mergeCell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EDC040-B396-984E-926E-3A839865A6B9}">
          <x14:formula1>
            <xm:f>Tabelle2!$A$1:$A$4</xm:f>
          </x14:formula1>
          <xm:sqref>B1:M1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A5D3-B256-C24A-AC7A-6C9E7C34A3AC}">
  <dimension ref="A1:B4"/>
  <sheetViews>
    <sheetView workbookViewId="0">
      <selection activeCell="B5" sqref="B5"/>
    </sheetView>
  </sheetViews>
  <sheetFormatPr baseColWidth="10" defaultRowHeight="16" x14ac:dyDescent="0.2"/>
  <cols>
    <col min="1" max="1" width="18.1640625" bestFit="1" customWidth="1"/>
  </cols>
  <sheetData>
    <row r="1" spans="1:2" x14ac:dyDescent="0.2">
      <c r="A1" t="s">
        <v>0</v>
      </c>
      <c r="B1" t="s">
        <v>5</v>
      </c>
    </row>
    <row r="2" spans="1:2" x14ac:dyDescent="0.2">
      <c r="A2" t="s">
        <v>1</v>
      </c>
      <c r="B2" t="s">
        <v>6</v>
      </c>
    </row>
    <row r="3" spans="1:2" x14ac:dyDescent="0.2">
      <c r="A3" t="s">
        <v>2</v>
      </c>
      <c r="B3" t="s">
        <v>7</v>
      </c>
    </row>
    <row r="4" spans="1:2" x14ac:dyDescent="0.2">
      <c r="A4" t="s">
        <v>3</v>
      </c>
      <c r="B4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Böcker</dc:creator>
  <cp:lastModifiedBy>Stefan Böcker</cp:lastModifiedBy>
  <dcterms:created xsi:type="dcterms:W3CDTF">2026-10-22T19:04:13Z</dcterms:created>
  <dcterms:modified xsi:type="dcterms:W3CDTF">2026-10-22T19:33:16Z</dcterms:modified>
</cp:coreProperties>
</file>